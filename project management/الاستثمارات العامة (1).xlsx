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second year\first semester\project management\"/>
    </mc:Choice>
  </mc:AlternateContent>
  <xr:revisionPtr revIDLastSave="0" documentId="13_ncr:1_{79046666-1A5E-40EC-A850-7C010D3F2633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Sheet1" sheetId="2" r:id="rId1"/>
    <sheet name="الاستثمارات العامة" sheetId="1" r:id="rId2"/>
  </sheets>
  <calcPr calcId="191029"/>
  <pivotCaches>
    <pivotCache cacheId="286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G2" i="1"/>
  <c r="H2" i="1"/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F2" i="1"/>
</calcChain>
</file>

<file path=xl/sharedStrings.xml><?xml version="1.0" encoding="utf-8"?>
<sst xmlns="http://schemas.openxmlformats.org/spreadsheetml/2006/main" count="133" uniqueCount="64">
  <si>
    <t>المؤشر</t>
  </si>
  <si>
    <t>المصدر</t>
  </si>
  <si>
    <t>وحدة القياس</t>
  </si>
  <si>
    <t>الربع</t>
  </si>
  <si>
    <t>السنة</t>
  </si>
  <si>
    <t>الزراعة</t>
  </si>
  <si>
    <t>البترول الخام</t>
  </si>
  <si>
    <t>الغاز الطبيعي</t>
  </si>
  <si>
    <t>استخراجات اخري</t>
  </si>
  <si>
    <t>تكرير البترول</t>
  </si>
  <si>
    <t>تحويلية أخري</t>
  </si>
  <si>
    <t>الكهرباء</t>
  </si>
  <si>
    <t>المياة والصرف الصحي</t>
  </si>
  <si>
    <t>تشييد وبناء</t>
  </si>
  <si>
    <t>النقل والتخزين</t>
  </si>
  <si>
    <t>الاتصالات والمعلومات</t>
  </si>
  <si>
    <t>قناة السويس</t>
  </si>
  <si>
    <t>تجارة الجملة والتجزئة</t>
  </si>
  <si>
    <t>الوساطة المالية والتأمين والضمان الاجتماعي</t>
  </si>
  <si>
    <t>المطاعم والفنادق</t>
  </si>
  <si>
    <t>الانشطة العقارية</t>
  </si>
  <si>
    <t>خدمات التعليم</t>
  </si>
  <si>
    <t>الخدمات الصحية</t>
  </si>
  <si>
    <t>خدمات اخري</t>
  </si>
  <si>
    <t>إجمالي الاستثمارات العامة</t>
  </si>
  <si>
    <t>الاستثمارات العامة المنفذة بالأسعار الجارية</t>
  </si>
  <si>
    <t>وزارة التخطيط والتنمية الاقتصادية</t>
  </si>
  <si>
    <t>مليون جنيه</t>
  </si>
  <si>
    <t>جملة</t>
  </si>
  <si>
    <t>2021/2020</t>
  </si>
  <si>
    <t>2020/2019</t>
  </si>
  <si>
    <t>2019/2018</t>
  </si>
  <si>
    <t>2018/2017</t>
  </si>
  <si>
    <t>2017/2016</t>
  </si>
  <si>
    <t>2016/2015</t>
  </si>
  <si>
    <t>2015/2014</t>
  </si>
  <si>
    <t>2014/2013</t>
  </si>
  <si>
    <t>2013/2012</t>
  </si>
  <si>
    <t>2012/2011</t>
  </si>
  <si>
    <t>2011/2010</t>
  </si>
  <si>
    <t>2010/2009</t>
  </si>
  <si>
    <t>Row Labels</t>
  </si>
  <si>
    <t>Grand Total</t>
  </si>
  <si>
    <t>اجمالى الاستثمارات المحلية</t>
  </si>
  <si>
    <t>Sum of الزراعة</t>
  </si>
  <si>
    <t>Sum of البترول الخام</t>
  </si>
  <si>
    <t>Sum of الغاز الطبيعي</t>
  </si>
  <si>
    <t>Sum of استخراجات اخري</t>
  </si>
  <si>
    <t>Sum of تكرير البترول</t>
  </si>
  <si>
    <t>Sum of تحويلية أخري</t>
  </si>
  <si>
    <t>Sum of الكهرباء</t>
  </si>
  <si>
    <t>Sum of المياة والصرف الصحي</t>
  </si>
  <si>
    <t>Sum of تشييد وبناء</t>
  </si>
  <si>
    <t>Sum of النقل والتخزين</t>
  </si>
  <si>
    <t>Sum of الاتصالات والمعلومات</t>
  </si>
  <si>
    <t>Sum of قناة السويس</t>
  </si>
  <si>
    <t>Sum of تجارة الجملة والتجزئة</t>
  </si>
  <si>
    <t>Sum of الوساطة المالية والتأمين والضمان الاجتماعي</t>
  </si>
  <si>
    <t>Sum of المطاعم والفنادق</t>
  </si>
  <si>
    <t>Sum of الانشطة العقارية</t>
  </si>
  <si>
    <t>Sum of خدمات التعليم</t>
  </si>
  <si>
    <t>Sum of الخدمات الصحية</t>
  </si>
  <si>
    <t>Sum of خدمات اخري</t>
  </si>
  <si>
    <t>+F35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</si>
</sst>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/>
      </top>
      <bottom/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" fontId="0" fillId="0" borderId="0" xfId="0" applyNumberFormat="1"/>
    <xf numFmtId="0" fontId="0" fillId="0" borderId="10" xfId="0" applyFont="1" applyBorder="1"/>
    <xf numFmtId="0" fontId="0" fillId="0" borderId="11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[الاستثمارات العامة (1).xlsx]Sheet1!PivotTable1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Sheet1!$A$2:$A$14</c:f>
              <c:strCache>
                <c:ptCount val="12"/>
                <c:pt idx="0">
                  <c:v>2010/2009</c:v>
                </c:pt>
                <c:pt idx="1">
                  <c:v>2011/2010</c:v>
                </c:pt>
                <c:pt idx="2">
                  <c:v>2012/2011</c:v>
                </c:pt>
                <c:pt idx="3">
                  <c:v>2013/2012</c:v>
                </c:pt>
                <c:pt idx="4">
                  <c:v>2014/2013</c:v>
                </c:pt>
                <c:pt idx="5">
                  <c:v>2015/2014</c:v>
                </c:pt>
                <c:pt idx="6">
                  <c:v>2016/2015</c:v>
                </c:pt>
                <c:pt idx="7">
                  <c:v>2017/2016</c:v>
                </c:pt>
                <c:pt idx="8">
                  <c:v>2018/2017</c:v>
                </c:pt>
                <c:pt idx="9">
                  <c:v>2019/2018</c:v>
                </c:pt>
                <c:pt idx="10">
                  <c:v>2020/2019</c:v>
                </c:pt>
                <c:pt idx="11">
                  <c:v>2021/2020</c:v>
                </c:pt>
              </c:strCache>
            </c:strRef>
          </c:cat>
          <c:val>
            <c:numRef>
              <c:f>Sheet1!$B$2:$B$14</c:f>
              <c:numCache>
                <c:formatCode>General</c:formatCode>
                <c:ptCount val="12"/>
                <c:pt idx="0">
                  <c:v>105</c:v>
                </c:pt>
                <c:pt idx="1">
                  <c:v>87</c:v>
                </c:pt>
                <c:pt idx="2">
                  <c:v>92</c:v>
                </c:pt>
                <c:pt idx="3">
                  <c:v>95</c:v>
                </c:pt>
                <c:pt idx="4">
                  <c:v>110</c:v>
                </c:pt>
                <c:pt idx="5">
                  <c:v>147</c:v>
                </c:pt>
                <c:pt idx="6">
                  <c:v>181</c:v>
                </c:pt>
                <c:pt idx="7">
                  <c:v>300</c:v>
                </c:pt>
                <c:pt idx="8">
                  <c:v>470</c:v>
                </c:pt>
                <c:pt idx="9">
                  <c:v>513</c:v>
                </c:pt>
                <c:pt idx="10">
                  <c:v>491</c:v>
                </c:pt>
                <c:pt idx="11">
                  <c:v>560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4A-4B7C-85E3-0C842B2206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7121423"/>
        <c:axId val="1377124751"/>
      </c:lineChart>
      <c:catAx>
        <c:axId val="137712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7124751"/>
        <c:crosses val="autoZero"/>
        <c:auto val="1"/>
        <c:lblAlgn val="ctr"/>
        <c:lblOffset val="100"/>
        <c:noMultiLvlLbl val="0"/>
      </c:catAx>
      <c:valAx>
        <c:axId val="1377124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[$مليار جنية]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7121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[الاستثمارات العامة (1).xlsx]Sheet1!PivotTable2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Sheet1!$M$1</c:f>
              <c:strCache>
                <c:ptCount val="1"/>
                <c:pt idx="0">
                  <c:v>Sum of خدمات اخري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Sheet1!$L$2:$L$14</c:f>
              <c:strCache>
                <c:ptCount val="12"/>
                <c:pt idx="0">
                  <c:v>2010/2009</c:v>
                </c:pt>
                <c:pt idx="1">
                  <c:v>2011/2010</c:v>
                </c:pt>
                <c:pt idx="2">
                  <c:v>2012/2011</c:v>
                </c:pt>
                <c:pt idx="3">
                  <c:v>2013/2012</c:v>
                </c:pt>
                <c:pt idx="4">
                  <c:v>2014/2013</c:v>
                </c:pt>
                <c:pt idx="5">
                  <c:v>2015/2014</c:v>
                </c:pt>
                <c:pt idx="6">
                  <c:v>2016/2015</c:v>
                </c:pt>
                <c:pt idx="7">
                  <c:v>2017/2016</c:v>
                </c:pt>
                <c:pt idx="8">
                  <c:v>2018/2017</c:v>
                </c:pt>
                <c:pt idx="9">
                  <c:v>2019/2018</c:v>
                </c:pt>
                <c:pt idx="10">
                  <c:v>2020/2019</c:v>
                </c:pt>
                <c:pt idx="11">
                  <c:v>2021/2020</c:v>
                </c:pt>
              </c:strCache>
            </c:strRef>
          </c:cat>
          <c:val>
            <c:numRef>
              <c:f>Sheet1!$M$2:$M$14</c:f>
              <c:numCache>
                <c:formatCode>General</c:formatCode>
                <c:ptCount val="12"/>
                <c:pt idx="0">
                  <c:v>8.4567000000000014</c:v>
                </c:pt>
                <c:pt idx="1">
                  <c:v>9.4527000000000001</c:v>
                </c:pt>
                <c:pt idx="2">
                  <c:v>7.8239999999999998</c:v>
                </c:pt>
                <c:pt idx="3">
                  <c:v>9.7255000000000003</c:v>
                </c:pt>
                <c:pt idx="4">
                  <c:v>13.1532</c:v>
                </c:pt>
                <c:pt idx="5">
                  <c:v>12.872399999999999</c:v>
                </c:pt>
                <c:pt idx="6">
                  <c:v>19.114699999999999</c:v>
                </c:pt>
                <c:pt idx="7">
                  <c:v>21.251900000000003</c:v>
                </c:pt>
                <c:pt idx="8">
                  <c:v>37.19435</c:v>
                </c:pt>
                <c:pt idx="9">
                  <c:v>56.466000000000001</c:v>
                </c:pt>
                <c:pt idx="10">
                  <c:v>75.896500000000003</c:v>
                </c:pt>
                <c:pt idx="11">
                  <c:v>82.422300000000007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04-4921-8A0A-649464D9BDF9}"/>
            </c:ext>
          </c:extLst>
        </c:ser>
        <c:ser>
          <c:idx val="1"/>
          <c:order val="1"/>
          <c:tx>
            <c:strRef>
              <c:f>Sheet1!$N$1</c:f>
              <c:strCache>
                <c:ptCount val="1"/>
                <c:pt idx="0">
                  <c:v>Sum of الخدمات الصحية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Sheet1!$L$2:$L$14</c:f>
              <c:strCache>
                <c:ptCount val="12"/>
                <c:pt idx="0">
                  <c:v>2010/2009</c:v>
                </c:pt>
                <c:pt idx="1">
                  <c:v>2011/2010</c:v>
                </c:pt>
                <c:pt idx="2">
                  <c:v>2012/2011</c:v>
                </c:pt>
                <c:pt idx="3">
                  <c:v>2013/2012</c:v>
                </c:pt>
                <c:pt idx="4">
                  <c:v>2014/2013</c:v>
                </c:pt>
                <c:pt idx="5">
                  <c:v>2015/2014</c:v>
                </c:pt>
                <c:pt idx="6">
                  <c:v>2016/2015</c:v>
                </c:pt>
                <c:pt idx="7">
                  <c:v>2017/2016</c:v>
                </c:pt>
                <c:pt idx="8">
                  <c:v>2018/2017</c:v>
                </c:pt>
                <c:pt idx="9">
                  <c:v>2019/2018</c:v>
                </c:pt>
                <c:pt idx="10">
                  <c:v>2020/2019</c:v>
                </c:pt>
                <c:pt idx="11">
                  <c:v>2021/2020</c:v>
                </c:pt>
              </c:strCache>
            </c:strRef>
          </c:cat>
          <c:val>
            <c:numRef>
              <c:f>Sheet1!$N$2:$N$14</c:f>
              <c:numCache>
                <c:formatCode>General</c:formatCode>
                <c:ptCount val="12"/>
                <c:pt idx="0">
                  <c:v>3.6601999999999997</c:v>
                </c:pt>
                <c:pt idx="1">
                  <c:v>3.2073</c:v>
                </c:pt>
                <c:pt idx="2">
                  <c:v>2.8968000000000003</c:v>
                </c:pt>
                <c:pt idx="3">
                  <c:v>2.7403000000000004</c:v>
                </c:pt>
                <c:pt idx="4">
                  <c:v>3.6877</c:v>
                </c:pt>
                <c:pt idx="5">
                  <c:v>3.4</c:v>
                </c:pt>
                <c:pt idx="6">
                  <c:v>3.4546999999999999</c:v>
                </c:pt>
                <c:pt idx="7">
                  <c:v>8.8367999999999984</c:v>
                </c:pt>
                <c:pt idx="8">
                  <c:v>7.5150800000000002</c:v>
                </c:pt>
                <c:pt idx="9">
                  <c:v>12.064</c:v>
                </c:pt>
                <c:pt idx="10">
                  <c:v>17.6281</c:v>
                </c:pt>
                <c:pt idx="11">
                  <c:v>22.907599999999999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04-4921-8A0A-649464D9BDF9}"/>
            </c:ext>
          </c:extLst>
        </c:ser>
        <c:ser>
          <c:idx val="2"/>
          <c:order val="2"/>
          <c:tx>
            <c:strRef>
              <c:f>Sheet1!$O$1</c:f>
              <c:strCache>
                <c:ptCount val="1"/>
                <c:pt idx="0">
                  <c:v>Sum of خدمات التعليم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Sheet1!$L$2:$L$14</c:f>
              <c:strCache>
                <c:ptCount val="12"/>
                <c:pt idx="0">
                  <c:v>2010/2009</c:v>
                </c:pt>
                <c:pt idx="1">
                  <c:v>2011/2010</c:v>
                </c:pt>
                <c:pt idx="2">
                  <c:v>2012/2011</c:v>
                </c:pt>
                <c:pt idx="3">
                  <c:v>2013/2012</c:v>
                </c:pt>
                <c:pt idx="4">
                  <c:v>2014/2013</c:v>
                </c:pt>
                <c:pt idx="5">
                  <c:v>2015/2014</c:v>
                </c:pt>
                <c:pt idx="6">
                  <c:v>2016/2015</c:v>
                </c:pt>
                <c:pt idx="7">
                  <c:v>2017/2016</c:v>
                </c:pt>
                <c:pt idx="8">
                  <c:v>2018/2017</c:v>
                </c:pt>
                <c:pt idx="9">
                  <c:v>2019/2018</c:v>
                </c:pt>
                <c:pt idx="10">
                  <c:v>2020/2019</c:v>
                </c:pt>
                <c:pt idx="11">
                  <c:v>2021/2020</c:v>
                </c:pt>
              </c:strCache>
            </c:strRef>
          </c:cat>
          <c:val>
            <c:numRef>
              <c:f>Sheet1!$O$2:$O$14</c:f>
              <c:numCache>
                <c:formatCode>General</c:formatCode>
                <c:ptCount val="12"/>
                <c:pt idx="0">
                  <c:v>4.6070000000000002</c:v>
                </c:pt>
                <c:pt idx="1">
                  <c:v>4.6271000000000004</c:v>
                </c:pt>
                <c:pt idx="2">
                  <c:v>4.5126999999999997</c:v>
                </c:pt>
                <c:pt idx="3">
                  <c:v>4.8891</c:v>
                </c:pt>
                <c:pt idx="4">
                  <c:v>6.5505000000000004</c:v>
                </c:pt>
                <c:pt idx="5">
                  <c:v>8.2187999999999999</c:v>
                </c:pt>
                <c:pt idx="6">
                  <c:v>6.4188999999999998</c:v>
                </c:pt>
                <c:pt idx="7">
                  <c:v>12.7028</c:v>
                </c:pt>
                <c:pt idx="8">
                  <c:v>17.22794</c:v>
                </c:pt>
                <c:pt idx="9">
                  <c:v>21.244400000000002</c:v>
                </c:pt>
                <c:pt idx="10">
                  <c:v>32.405900000000003</c:v>
                </c:pt>
                <c:pt idx="11">
                  <c:v>32.314700000000002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04-4921-8A0A-649464D9BDF9}"/>
            </c:ext>
          </c:extLst>
        </c:ser>
        <c:ser>
          <c:idx val="3"/>
          <c:order val="3"/>
          <c:tx>
            <c:strRef>
              <c:f>Sheet1!$P$1</c:f>
              <c:strCache>
                <c:ptCount val="1"/>
                <c:pt idx="0">
                  <c:v>Sum of الانشطة العقارية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Sheet1!$L$2:$L$14</c:f>
              <c:strCache>
                <c:ptCount val="12"/>
                <c:pt idx="0">
                  <c:v>2010/2009</c:v>
                </c:pt>
                <c:pt idx="1">
                  <c:v>2011/2010</c:v>
                </c:pt>
                <c:pt idx="2">
                  <c:v>2012/2011</c:v>
                </c:pt>
                <c:pt idx="3">
                  <c:v>2013/2012</c:v>
                </c:pt>
                <c:pt idx="4">
                  <c:v>2014/2013</c:v>
                </c:pt>
                <c:pt idx="5">
                  <c:v>2015/2014</c:v>
                </c:pt>
                <c:pt idx="6">
                  <c:v>2016/2015</c:v>
                </c:pt>
                <c:pt idx="7">
                  <c:v>2017/2016</c:v>
                </c:pt>
                <c:pt idx="8">
                  <c:v>2018/2017</c:v>
                </c:pt>
                <c:pt idx="9">
                  <c:v>2019/2018</c:v>
                </c:pt>
                <c:pt idx="10">
                  <c:v>2020/2019</c:v>
                </c:pt>
                <c:pt idx="11">
                  <c:v>2021/2020</c:v>
                </c:pt>
              </c:strCache>
            </c:strRef>
          </c:cat>
          <c:val>
            <c:numRef>
              <c:f>Sheet1!$P$2:$P$14</c:f>
              <c:numCache>
                <c:formatCode>General</c:formatCode>
                <c:ptCount val="12"/>
                <c:pt idx="0">
                  <c:v>1.8699000000000001</c:v>
                </c:pt>
                <c:pt idx="1">
                  <c:v>1.7439</c:v>
                </c:pt>
                <c:pt idx="2">
                  <c:v>1.1448</c:v>
                </c:pt>
                <c:pt idx="3">
                  <c:v>0.62739999999999996</c:v>
                </c:pt>
                <c:pt idx="4">
                  <c:v>6.1011999999999995</c:v>
                </c:pt>
                <c:pt idx="5">
                  <c:v>7.39</c:v>
                </c:pt>
                <c:pt idx="6">
                  <c:v>7.8819999999999997</c:v>
                </c:pt>
                <c:pt idx="7">
                  <c:v>24.495000000000001</c:v>
                </c:pt>
                <c:pt idx="8">
                  <c:v>22.5472</c:v>
                </c:pt>
                <c:pt idx="9">
                  <c:v>21.153700000000001</c:v>
                </c:pt>
                <c:pt idx="10">
                  <c:v>23.517299999999999</c:v>
                </c:pt>
                <c:pt idx="11">
                  <c:v>13.790100000000001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504-4921-8A0A-649464D9BDF9}"/>
            </c:ext>
          </c:extLst>
        </c:ser>
        <c:ser>
          <c:idx val="4"/>
          <c:order val="4"/>
          <c:tx>
            <c:strRef>
              <c:f>Sheet1!$Q$1</c:f>
              <c:strCache>
                <c:ptCount val="1"/>
                <c:pt idx="0">
                  <c:v>Sum of المطاعم والفنادق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Sheet1!$L$2:$L$14</c:f>
              <c:strCache>
                <c:ptCount val="12"/>
                <c:pt idx="0">
                  <c:v>2010/2009</c:v>
                </c:pt>
                <c:pt idx="1">
                  <c:v>2011/2010</c:v>
                </c:pt>
                <c:pt idx="2">
                  <c:v>2012/2011</c:v>
                </c:pt>
                <c:pt idx="3">
                  <c:v>2013/2012</c:v>
                </c:pt>
                <c:pt idx="4">
                  <c:v>2014/2013</c:v>
                </c:pt>
                <c:pt idx="5">
                  <c:v>2015/2014</c:v>
                </c:pt>
                <c:pt idx="6">
                  <c:v>2016/2015</c:v>
                </c:pt>
                <c:pt idx="7">
                  <c:v>2017/2016</c:v>
                </c:pt>
                <c:pt idx="8">
                  <c:v>2018/2017</c:v>
                </c:pt>
                <c:pt idx="9">
                  <c:v>2019/2018</c:v>
                </c:pt>
                <c:pt idx="10">
                  <c:v>2020/2019</c:v>
                </c:pt>
                <c:pt idx="11">
                  <c:v>2021/2020</c:v>
                </c:pt>
              </c:strCache>
            </c:strRef>
          </c:cat>
          <c:val>
            <c:numRef>
              <c:f>Sheet1!$Q$2:$Q$14</c:f>
              <c:numCache>
                <c:formatCode>General</c:formatCode>
                <c:ptCount val="12"/>
                <c:pt idx="0">
                  <c:v>0.34549999999999997</c:v>
                </c:pt>
                <c:pt idx="1">
                  <c:v>0.37330000000000002</c:v>
                </c:pt>
                <c:pt idx="2">
                  <c:v>0.57099999999999995</c:v>
                </c:pt>
                <c:pt idx="3">
                  <c:v>0.33139999999999997</c:v>
                </c:pt>
                <c:pt idx="4">
                  <c:v>1.3380999999999998</c:v>
                </c:pt>
                <c:pt idx="5">
                  <c:v>0.31730000000000003</c:v>
                </c:pt>
                <c:pt idx="6">
                  <c:v>0.18630000000000002</c:v>
                </c:pt>
                <c:pt idx="7">
                  <c:v>0.3231</c:v>
                </c:pt>
                <c:pt idx="8">
                  <c:v>0.69259999999999999</c:v>
                </c:pt>
                <c:pt idx="9">
                  <c:v>1.0797999999999999</c:v>
                </c:pt>
                <c:pt idx="10">
                  <c:v>0.31880000000000003</c:v>
                </c:pt>
                <c:pt idx="11">
                  <c:v>0.40799999999999997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504-4921-8A0A-649464D9BDF9}"/>
            </c:ext>
          </c:extLst>
        </c:ser>
        <c:ser>
          <c:idx val="5"/>
          <c:order val="5"/>
          <c:tx>
            <c:strRef>
              <c:f>Sheet1!$R$1</c:f>
              <c:strCache>
                <c:ptCount val="1"/>
                <c:pt idx="0">
                  <c:v>Sum of الوساطة المالية والتأمين والضمان الاجتماعي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Sheet1!$L$2:$L$14</c:f>
              <c:strCache>
                <c:ptCount val="12"/>
                <c:pt idx="0">
                  <c:v>2010/2009</c:v>
                </c:pt>
                <c:pt idx="1">
                  <c:v>2011/2010</c:v>
                </c:pt>
                <c:pt idx="2">
                  <c:v>2012/2011</c:v>
                </c:pt>
                <c:pt idx="3">
                  <c:v>2013/2012</c:v>
                </c:pt>
                <c:pt idx="4">
                  <c:v>2014/2013</c:v>
                </c:pt>
                <c:pt idx="5">
                  <c:v>2015/2014</c:v>
                </c:pt>
                <c:pt idx="6">
                  <c:v>2016/2015</c:v>
                </c:pt>
                <c:pt idx="7">
                  <c:v>2017/2016</c:v>
                </c:pt>
                <c:pt idx="8">
                  <c:v>2018/2017</c:v>
                </c:pt>
                <c:pt idx="9">
                  <c:v>2019/2018</c:v>
                </c:pt>
                <c:pt idx="10">
                  <c:v>2020/2019</c:v>
                </c:pt>
                <c:pt idx="11">
                  <c:v>2021/2020</c:v>
                </c:pt>
              </c:strCache>
            </c:strRef>
          </c:cat>
          <c:val>
            <c:numRef>
              <c:f>Sheet1!$R$2:$R$14</c:f>
              <c:numCache>
                <c:formatCode>General</c:formatCode>
                <c:ptCount val="12"/>
                <c:pt idx="0">
                  <c:v>0.89989999999999992</c:v>
                </c:pt>
                <c:pt idx="1">
                  <c:v>0.87490000000000001</c:v>
                </c:pt>
                <c:pt idx="2">
                  <c:v>1.5085</c:v>
                </c:pt>
                <c:pt idx="3">
                  <c:v>1.0604</c:v>
                </c:pt>
                <c:pt idx="4">
                  <c:v>0.97260000000000002</c:v>
                </c:pt>
                <c:pt idx="5">
                  <c:v>0.75990000000000002</c:v>
                </c:pt>
                <c:pt idx="6">
                  <c:v>0.14460000000000001</c:v>
                </c:pt>
                <c:pt idx="7">
                  <c:v>9.7799999999999998E-2</c:v>
                </c:pt>
                <c:pt idx="8">
                  <c:v>4.6299999999999994E-2</c:v>
                </c:pt>
                <c:pt idx="9">
                  <c:v>0.54630000000000001</c:v>
                </c:pt>
                <c:pt idx="10">
                  <c:v>0.98760000000000003</c:v>
                </c:pt>
                <c:pt idx="11">
                  <c:v>6.9599999999999995E-2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504-4921-8A0A-649464D9BDF9}"/>
            </c:ext>
          </c:extLst>
        </c:ser>
        <c:ser>
          <c:idx val="6"/>
          <c:order val="6"/>
          <c:tx>
            <c:strRef>
              <c:f>Sheet1!$S$1</c:f>
              <c:strCache>
                <c:ptCount val="1"/>
                <c:pt idx="0">
                  <c:v>Sum of تجارة الجملة والتجزئة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Sheet1!$L$2:$L$14</c:f>
              <c:strCache>
                <c:ptCount val="12"/>
                <c:pt idx="0">
                  <c:v>2010/2009</c:v>
                </c:pt>
                <c:pt idx="1">
                  <c:v>2011/2010</c:v>
                </c:pt>
                <c:pt idx="2">
                  <c:v>2012/2011</c:v>
                </c:pt>
                <c:pt idx="3">
                  <c:v>2013/2012</c:v>
                </c:pt>
                <c:pt idx="4">
                  <c:v>2014/2013</c:v>
                </c:pt>
                <c:pt idx="5">
                  <c:v>2015/2014</c:v>
                </c:pt>
                <c:pt idx="6">
                  <c:v>2016/2015</c:v>
                </c:pt>
                <c:pt idx="7">
                  <c:v>2017/2016</c:v>
                </c:pt>
                <c:pt idx="8">
                  <c:v>2018/2017</c:v>
                </c:pt>
                <c:pt idx="9">
                  <c:v>2019/2018</c:v>
                </c:pt>
                <c:pt idx="10">
                  <c:v>2020/2019</c:v>
                </c:pt>
                <c:pt idx="11">
                  <c:v>2021/2020</c:v>
                </c:pt>
              </c:strCache>
            </c:strRef>
          </c:cat>
          <c:val>
            <c:numRef>
              <c:f>Sheet1!$S$2:$S$14</c:f>
              <c:numCache>
                <c:formatCode>General</c:formatCode>
                <c:ptCount val="12"/>
                <c:pt idx="0">
                  <c:v>0.23699999999999999</c:v>
                </c:pt>
                <c:pt idx="1">
                  <c:v>0.2404</c:v>
                </c:pt>
                <c:pt idx="2">
                  <c:v>0.2697</c:v>
                </c:pt>
                <c:pt idx="3">
                  <c:v>0.49469999999999997</c:v>
                </c:pt>
                <c:pt idx="4">
                  <c:v>0.63879999999999992</c:v>
                </c:pt>
                <c:pt idx="5">
                  <c:v>0.28100000000000003</c:v>
                </c:pt>
                <c:pt idx="6">
                  <c:v>0.4073</c:v>
                </c:pt>
                <c:pt idx="7">
                  <c:v>0.74850000000000005</c:v>
                </c:pt>
                <c:pt idx="8">
                  <c:v>2.09673</c:v>
                </c:pt>
                <c:pt idx="9">
                  <c:v>6.5356000000000005</c:v>
                </c:pt>
                <c:pt idx="10">
                  <c:v>0.80159999999999998</c:v>
                </c:pt>
                <c:pt idx="11">
                  <c:v>0.54179999999999995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504-4921-8A0A-649464D9BDF9}"/>
            </c:ext>
          </c:extLst>
        </c:ser>
        <c:ser>
          <c:idx val="7"/>
          <c:order val="7"/>
          <c:tx>
            <c:strRef>
              <c:f>Sheet1!$T$1</c:f>
              <c:strCache>
                <c:ptCount val="1"/>
                <c:pt idx="0">
                  <c:v>Sum of قناة السويس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Sheet1!$L$2:$L$14</c:f>
              <c:strCache>
                <c:ptCount val="12"/>
                <c:pt idx="0">
                  <c:v>2010/2009</c:v>
                </c:pt>
                <c:pt idx="1">
                  <c:v>2011/2010</c:v>
                </c:pt>
                <c:pt idx="2">
                  <c:v>2012/2011</c:v>
                </c:pt>
                <c:pt idx="3">
                  <c:v>2013/2012</c:v>
                </c:pt>
                <c:pt idx="4">
                  <c:v>2014/2013</c:v>
                </c:pt>
                <c:pt idx="5">
                  <c:v>2015/2014</c:v>
                </c:pt>
                <c:pt idx="6">
                  <c:v>2016/2015</c:v>
                </c:pt>
                <c:pt idx="7">
                  <c:v>2017/2016</c:v>
                </c:pt>
                <c:pt idx="8">
                  <c:v>2018/2017</c:v>
                </c:pt>
                <c:pt idx="9">
                  <c:v>2019/2018</c:v>
                </c:pt>
                <c:pt idx="10">
                  <c:v>2020/2019</c:v>
                </c:pt>
                <c:pt idx="11">
                  <c:v>2021/2020</c:v>
                </c:pt>
              </c:strCache>
            </c:strRef>
          </c:cat>
          <c:val>
            <c:numRef>
              <c:f>Sheet1!$T$2:$T$14</c:f>
              <c:numCache>
                <c:formatCode>General</c:formatCode>
                <c:ptCount val="12"/>
                <c:pt idx="0">
                  <c:v>0.5645</c:v>
                </c:pt>
                <c:pt idx="1">
                  <c:v>0.47539999999999999</c:v>
                </c:pt>
                <c:pt idx="2">
                  <c:v>0.29049999999999998</c:v>
                </c:pt>
                <c:pt idx="3">
                  <c:v>0.35270000000000001</c:v>
                </c:pt>
                <c:pt idx="4">
                  <c:v>0.43489999999999995</c:v>
                </c:pt>
                <c:pt idx="5">
                  <c:v>27.468</c:v>
                </c:pt>
                <c:pt idx="6">
                  <c:v>31.447800000000001</c:v>
                </c:pt>
                <c:pt idx="7">
                  <c:v>14.028799999999999</c:v>
                </c:pt>
                <c:pt idx="8">
                  <c:v>19.162779999999998</c:v>
                </c:pt>
                <c:pt idx="9">
                  <c:v>18.404599999999999</c:v>
                </c:pt>
                <c:pt idx="10">
                  <c:v>10.333399999999999</c:v>
                </c:pt>
                <c:pt idx="11">
                  <c:v>15.2369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504-4921-8A0A-649464D9BDF9}"/>
            </c:ext>
          </c:extLst>
        </c:ser>
        <c:ser>
          <c:idx val="8"/>
          <c:order val="8"/>
          <c:tx>
            <c:strRef>
              <c:f>Sheet1!$U$1</c:f>
              <c:strCache>
                <c:ptCount val="1"/>
                <c:pt idx="0">
                  <c:v>Sum of الاتصالات والمعلومات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Sheet1!$L$2:$L$14</c:f>
              <c:strCache>
                <c:ptCount val="12"/>
                <c:pt idx="0">
                  <c:v>2010/2009</c:v>
                </c:pt>
                <c:pt idx="1">
                  <c:v>2011/2010</c:v>
                </c:pt>
                <c:pt idx="2">
                  <c:v>2012/2011</c:v>
                </c:pt>
                <c:pt idx="3">
                  <c:v>2013/2012</c:v>
                </c:pt>
                <c:pt idx="4">
                  <c:v>2014/2013</c:v>
                </c:pt>
                <c:pt idx="5">
                  <c:v>2015/2014</c:v>
                </c:pt>
                <c:pt idx="6">
                  <c:v>2016/2015</c:v>
                </c:pt>
                <c:pt idx="7">
                  <c:v>2017/2016</c:v>
                </c:pt>
                <c:pt idx="8">
                  <c:v>2018/2017</c:v>
                </c:pt>
                <c:pt idx="9">
                  <c:v>2019/2018</c:v>
                </c:pt>
                <c:pt idx="10">
                  <c:v>2020/2019</c:v>
                </c:pt>
                <c:pt idx="11">
                  <c:v>2021/2020</c:v>
                </c:pt>
              </c:strCache>
            </c:strRef>
          </c:cat>
          <c:val>
            <c:numRef>
              <c:f>Sheet1!$U$2:$U$14</c:f>
              <c:numCache>
                <c:formatCode>General</c:formatCode>
                <c:ptCount val="12"/>
                <c:pt idx="0">
                  <c:v>2.1951000000000001</c:v>
                </c:pt>
                <c:pt idx="1">
                  <c:v>1.6484000000000001</c:v>
                </c:pt>
                <c:pt idx="2">
                  <c:v>1.0236000000000001</c:v>
                </c:pt>
                <c:pt idx="3">
                  <c:v>0.93189999999999995</c:v>
                </c:pt>
                <c:pt idx="4">
                  <c:v>0.74760000000000004</c:v>
                </c:pt>
                <c:pt idx="5">
                  <c:v>0.90149999999999997</c:v>
                </c:pt>
                <c:pt idx="6">
                  <c:v>0.94359999999999999</c:v>
                </c:pt>
                <c:pt idx="7">
                  <c:v>2.2216</c:v>
                </c:pt>
                <c:pt idx="8">
                  <c:v>3.6602899999999998</c:v>
                </c:pt>
                <c:pt idx="9">
                  <c:v>5.5851999999999995</c:v>
                </c:pt>
                <c:pt idx="10">
                  <c:v>6.7450000000000001</c:v>
                </c:pt>
                <c:pt idx="11">
                  <c:v>19.273499999999999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504-4921-8A0A-649464D9BDF9}"/>
            </c:ext>
          </c:extLst>
        </c:ser>
        <c:ser>
          <c:idx val="9"/>
          <c:order val="9"/>
          <c:tx>
            <c:strRef>
              <c:f>Sheet1!$V$1</c:f>
              <c:strCache>
                <c:ptCount val="1"/>
                <c:pt idx="0">
                  <c:v>Sum of النقل والتخزين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Sheet1!$L$2:$L$14</c:f>
              <c:strCache>
                <c:ptCount val="12"/>
                <c:pt idx="0">
                  <c:v>2010/2009</c:v>
                </c:pt>
                <c:pt idx="1">
                  <c:v>2011/2010</c:v>
                </c:pt>
                <c:pt idx="2">
                  <c:v>2012/2011</c:v>
                </c:pt>
                <c:pt idx="3">
                  <c:v>2013/2012</c:v>
                </c:pt>
                <c:pt idx="4">
                  <c:v>2014/2013</c:v>
                </c:pt>
                <c:pt idx="5">
                  <c:v>2015/2014</c:v>
                </c:pt>
                <c:pt idx="6">
                  <c:v>2016/2015</c:v>
                </c:pt>
                <c:pt idx="7">
                  <c:v>2017/2016</c:v>
                </c:pt>
                <c:pt idx="8">
                  <c:v>2018/2017</c:v>
                </c:pt>
                <c:pt idx="9">
                  <c:v>2019/2018</c:v>
                </c:pt>
                <c:pt idx="10">
                  <c:v>2020/2019</c:v>
                </c:pt>
                <c:pt idx="11">
                  <c:v>2021/2020</c:v>
                </c:pt>
              </c:strCache>
            </c:strRef>
          </c:cat>
          <c:val>
            <c:numRef>
              <c:f>Sheet1!$V$2:$V$14</c:f>
              <c:numCache>
                <c:formatCode>General</c:formatCode>
                <c:ptCount val="12"/>
                <c:pt idx="0">
                  <c:v>16.764200000000002</c:v>
                </c:pt>
                <c:pt idx="1">
                  <c:v>15.830299999999999</c:v>
                </c:pt>
                <c:pt idx="2">
                  <c:v>17.860400000000002</c:v>
                </c:pt>
                <c:pt idx="3">
                  <c:v>14.443100000000001</c:v>
                </c:pt>
                <c:pt idx="4">
                  <c:v>16.258399999999998</c:v>
                </c:pt>
                <c:pt idx="5">
                  <c:v>20.846799999999998</c:v>
                </c:pt>
                <c:pt idx="6">
                  <c:v>26.1754</c:v>
                </c:pt>
                <c:pt idx="7">
                  <c:v>30.497599999999998</c:v>
                </c:pt>
                <c:pt idx="8">
                  <c:v>73.756270000000001</c:v>
                </c:pt>
                <c:pt idx="9">
                  <c:v>74.751300000000001</c:v>
                </c:pt>
                <c:pt idx="10">
                  <c:v>88.412899999999993</c:v>
                </c:pt>
                <c:pt idx="11">
                  <c:v>105.8271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504-4921-8A0A-649464D9BDF9}"/>
            </c:ext>
          </c:extLst>
        </c:ser>
        <c:ser>
          <c:idx val="10"/>
          <c:order val="10"/>
          <c:tx>
            <c:strRef>
              <c:f>Sheet1!$W$1</c:f>
              <c:strCache>
                <c:ptCount val="1"/>
                <c:pt idx="0">
                  <c:v>Sum of تشييد وبناء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Sheet1!$L$2:$L$14</c:f>
              <c:strCache>
                <c:ptCount val="12"/>
                <c:pt idx="0">
                  <c:v>2010/2009</c:v>
                </c:pt>
                <c:pt idx="1">
                  <c:v>2011/2010</c:v>
                </c:pt>
                <c:pt idx="2">
                  <c:v>2012/2011</c:v>
                </c:pt>
                <c:pt idx="3">
                  <c:v>2013/2012</c:v>
                </c:pt>
                <c:pt idx="4">
                  <c:v>2014/2013</c:v>
                </c:pt>
                <c:pt idx="5">
                  <c:v>2015/2014</c:v>
                </c:pt>
                <c:pt idx="6">
                  <c:v>2016/2015</c:v>
                </c:pt>
                <c:pt idx="7">
                  <c:v>2017/2016</c:v>
                </c:pt>
                <c:pt idx="8">
                  <c:v>2018/2017</c:v>
                </c:pt>
                <c:pt idx="9">
                  <c:v>2019/2018</c:v>
                </c:pt>
                <c:pt idx="10">
                  <c:v>2020/2019</c:v>
                </c:pt>
                <c:pt idx="11">
                  <c:v>2021/2020</c:v>
                </c:pt>
              </c:strCache>
            </c:strRef>
          </c:cat>
          <c:val>
            <c:numRef>
              <c:f>Sheet1!$W$2:$W$14</c:f>
              <c:numCache>
                <c:formatCode>General</c:formatCode>
                <c:ptCount val="12"/>
                <c:pt idx="0">
                  <c:v>1.0630999999999999</c:v>
                </c:pt>
                <c:pt idx="1">
                  <c:v>0.96250000000000002</c:v>
                </c:pt>
                <c:pt idx="2">
                  <c:v>0.80979999999999996</c:v>
                </c:pt>
                <c:pt idx="3">
                  <c:v>0.86699999999999999</c:v>
                </c:pt>
                <c:pt idx="4">
                  <c:v>0.81100000000000005</c:v>
                </c:pt>
                <c:pt idx="5">
                  <c:v>1.1112</c:v>
                </c:pt>
                <c:pt idx="6">
                  <c:v>4.63</c:v>
                </c:pt>
                <c:pt idx="7">
                  <c:v>1.4742999999999999</c:v>
                </c:pt>
                <c:pt idx="8">
                  <c:v>33.599499999999999</c:v>
                </c:pt>
                <c:pt idx="9">
                  <c:v>32.4846</c:v>
                </c:pt>
                <c:pt idx="10">
                  <c:v>29.649099999999997</c:v>
                </c:pt>
                <c:pt idx="11">
                  <c:v>33.294400000000003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504-4921-8A0A-649464D9BDF9}"/>
            </c:ext>
          </c:extLst>
        </c:ser>
        <c:ser>
          <c:idx val="11"/>
          <c:order val="11"/>
          <c:tx>
            <c:strRef>
              <c:f>Sheet1!$X$1</c:f>
              <c:strCache>
                <c:ptCount val="1"/>
                <c:pt idx="0">
                  <c:v>Sum of المياة والصرف الصحي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Sheet1!$L$2:$L$14</c:f>
              <c:strCache>
                <c:ptCount val="12"/>
                <c:pt idx="0">
                  <c:v>2010/2009</c:v>
                </c:pt>
                <c:pt idx="1">
                  <c:v>2011/2010</c:v>
                </c:pt>
                <c:pt idx="2">
                  <c:v>2012/2011</c:v>
                </c:pt>
                <c:pt idx="3">
                  <c:v>2013/2012</c:v>
                </c:pt>
                <c:pt idx="4">
                  <c:v>2014/2013</c:v>
                </c:pt>
                <c:pt idx="5">
                  <c:v>2015/2014</c:v>
                </c:pt>
                <c:pt idx="6">
                  <c:v>2016/2015</c:v>
                </c:pt>
                <c:pt idx="7">
                  <c:v>2017/2016</c:v>
                </c:pt>
                <c:pt idx="8">
                  <c:v>2018/2017</c:v>
                </c:pt>
                <c:pt idx="9">
                  <c:v>2019/2018</c:v>
                </c:pt>
                <c:pt idx="10">
                  <c:v>2020/2019</c:v>
                </c:pt>
                <c:pt idx="11">
                  <c:v>2021/2020</c:v>
                </c:pt>
              </c:strCache>
            </c:strRef>
          </c:cat>
          <c:val>
            <c:numRef>
              <c:f>Sheet1!$X$2:$X$14</c:f>
              <c:numCache>
                <c:formatCode>General</c:formatCode>
                <c:ptCount val="12"/>
                <c:pt idx="0">
                  <c:v>17.504099999999998</c:v>
                </c:pt>
                <c:pt idx="1">
                  <c:v>10.930899999999999</c:v>
                </c:pt>
                <c:pt idx="2">
                  <c:v>10.392299999999999</c:v>
                </c:pt>
                <c:pt idx="3">
                  <c:v>10.1052</c:v>
                </c:pt>
                <c:pt idx="4">
                  <c:v>12.0876</c:v>
                </c:pt>
                <c:pt idx="5">
                  <c:v>13.526200000000001</c:v>
                </c:pt>
                <c:pt idx="6">
                  <c:v>16.5383</c:v>
                </c:pt>
                <c:pt idx="7">
                  <c:v>18.7652</c:v>
                </c:pt>
                <c:pt idx="8">
                  <c:v>16.170750000000002</c:v>
                </c:pt>
                <c:pt idx="9">
                  <c:v>21.923200000000001</c:v>
                </c:pt>
                <c:pt idx="10">
                  <c:v>36.013500000000001</c:v>
                </c:pt>
                <c:pt idx="11">
                  <c:v>48.866500000000002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E504-4921-8A0A-649464D9BDF9}"/>
            </c:ext>
          </c:extLst>
        </c:ser>
        <c:ser>
          <c:idx val="12"/>
          <c:order val="12"/>
          <c:tx>
            <c:strRef>
              <c:f>Sheet1!$Y$1</c:f>
              <c:strCache>
                <c:ptCount val="1"/>
                <c:pt idx="0">
                  <c:v>Sum of الكهرباء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Sheet1!$L$2:$L$14</c:f>
              <c:strCache>
                <c:ptCount val="12"/>
                <c:pt idx="0">
                  <c:v>2010/2009</c:v>
                </c:pt>
                <c:pt idx="1">
                  <c:v>2011/2010</c:v>
                </c:pt>
                <c:pt idx="2">
                  <c:v>2012/2011</c:v>
                </c:pt>
                <c:pt idx="3">
                  <c:v>2013/2012</c:v>
                </c:pt>
                <c:pt idx="4">
                  <c:v>2014/2013</c:v>
                </c:pt>
                <c:pt idx="5">
                  <c:v>2015/2014</c:v>
                </c:pt>
                <c:pt idx="6">
                  <c:v>2016/2015</c:v>
                </c:pt>
                <c:pt idx="7">
                  <c:v>2017/2016</c:v>
                </c:pt>
                <c:pt idx="8">
                  <c:v>2018/2017</c:v>
                </c:pt>
                <c:pt idx="9">
                  <c:v>2019/2018</c:v>
                </c:pt>
                <c:pt idx="10">
                  <c:v>2020/2019</c:v>
                </c:pt>
                <c:pt idx="11">
                  <c:v>2021/2020</c:v>
                </c:pt>
              </c:strCache>
            </c:strRef>
          </c:cat>
          <c:val>
            <c:numRef>
              <c:f>Sheet1!$Y$2:$Y$14</c:f>
              <c:numCache>
                <c:formatCode>General</c:formatCode>
                <c:ptCount val="12"/>
                <c:pt idx="0">
                  <c:v>15.8626</c:v>
                </c:pt>
                <c:pt idx="1">
                  <c:v>16.880099999999999</c:v>
                </c:pt>
                <c:pt idx="2">
                  <c:v>18.401</c:v>
                </c:pt>
                <c:pt idx="3">
                  <c:v>15.662799999999999</c:v>
                </c:pt>
                <c:pt idx="4">
                  <c:v>12.139899999999999</c:v>
                </c:pt>
                <c:pt idx="5">
                  <c:v>13.279</c:v>
                </c:pt>
                <c:pt idx="6">
                  <c:v>17.0549</c:v>
                </c:pt>
                <c:pt idx="7">
                  <c:v>124.5407</c:v>
                </c:pt>
                <c:pt idx="8">
                  <c:v>96.547309999999996</c:v>
                </c:pt>
                <c:pt idx="9">
                  <c:v>73.084699999999998</c:v>
                </c:pt>
                <c:pt idx="10">
                  <c:v>48.903400000000005</c:v>
                </c:pt>
                <c:pt idx="11">
                  <c:v>37.787099999999995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504-4921-8A0A-649464D9BDF9}"/>
            </c:ext>
          </c:extLst>
        </c:ser>
        <c:ser>
          <c:idx val="13"/>
          <c:order val="13"/>
          <c:tx>
            <c:strRef>
              <c:f>Sheet1!$Z$1</c:f>
              <c:strCache>
                <c:ptCount val="1"/>
                <c:pt idx="0">
                  <c:v>Sum of تحويلية أخري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Sheet1!$L$2:$L$14</c:f>
              <c:strCache>
                <c:ptCount val="12"/>
                <c:pt idx="0">
                  <c:v>2010/2009</c:v>
                </c:pt>
                <c:pt idx="1">
                  <c:v>2011/2010</c:v>
                </c:pt>
                <c:pt idx="2">
                  <c:v>2012/2011</c:v>
                </c:pt>
                <c:pt idx="3">
                  <c:v>2013/2012</c:v>
                </c:pt>
                <c:pt idx="4">
                  <c:v>2014/2013</c:v>
                </c:pt>
                <c:pt idx="5">
                  <c:v>2015/2014</c:v>
                </c:pt>
                <c:pt idx="6">
                  <c:v>2016/2015</c:v>
                </c:pt>
                <c:pt idx="7">
                  <c:v>2017/2016</c:v>
                </c:pt>
                <c:pt idx="8">
                  <c:v>2018/2017</c:v>
                </c:pt>
                <c:pt idx="9">
                  <c:v>2019/2018</c:v>
                </c:pt>
                <c:pt idx="10">
                  <c:v>2020/2019</c:v>
                </c:pt>
                <c:pt idx="11">
                  <c:v>2021/2020</c:v>
                </c:pt>
              </c:strCache>
            </c:strRef>
          </c:cat>
          <c:val>
            <c:numRef>
              <c:f>Sheet1!$Z$2:$Z$14</c:f>
              <c:numCache>
                <c:formatCode>General</c:formatCode>
                <c:ptCount val="12"/>
                <c:pt idx="0">
                  <c:v>6.9213000000000005</c:v>
                </c:pt>
                <c:pt idx="1">
                  <c:v>4.6071999999999997</c:v>
                </c:pt>
                <c:pt idx="2">
                  <c:v>2.7515999999999998</c:v>
                </c:pt>
                <c:pt idx="3">
                  <c:v>3.4146000000000001</c:v>
                </c:pt>
                <c:pt idx="4">
                  <c:v>5.2051999999999996</c:v>
                </c:pt>
                <c:pt idx="5">
                  <c:v>6.2831000000000001</c:v>
                </c:pt>
                <c:pt idx="6">
                  <c:v>6.0831</c:v>
                </c:pt>
                <c:pt idx="7">
                  <c:v>2.8620999999999999</c:v>
                </c:pt>
                <c:pt idx="8">
                  <c:v>45.610750000000003</c:v>
                </c:pt>
                <c:pt idx="9">
                  <c:v>49.829800000000006</c:v>
                </c:pt>
                <c:pt idx="10">
                  <c:v>46.273400000000002</c:v>
                </c:pt>
                <c:pt idx="11">
                  <c:v>38.249199999999995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E504-4921-8A0A-649464D9BDF9}"/>
            </c:ext>
          </c:extLst>
        </c:ser>
        <c:ser>
          <c:idx val="14"/>
          <c:order val="14"/>
          <c:tx>
            <c:strRef>
              <c:f>Sheet1!$AA$1</c:f>
              <c:strCache>
                <c:ptCount val="1"/>
                <c:pt idx="0">
                  <c:v>Sum of تكرير البترول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Sheet1!$L$2:$L$14</c:f>
              <c:strCache>
                <c:ptCount val="12"/>
                <c:pt idx="0">
                  <c:v>2010/2009</c:v>
                </c:pt>
                <c:pt idx="1">
                  <c:v>2011/2010</c:v>
                </c:pt>
                <c:pt idx="2">
                  <c:v>2012/2011</c:v>
                </c:pt>
                <c:pt idx="3">
                  <c:v>2013/2012</c:v>
                </c:pt>
                <c:pt idx="4">
                  <c:v>2014/2013</c:v>
                </c:pt>
                <c:pt idx="5">
                  <c:v>2015/2014</c:v>
                </c:pt>
                <c:pt idx="6">
                  <c:v>2016/2015</c:v>
                </c:pt>
                <c:pt idx="7">
                  <c:v>2017/2016</c:v>
                </c:pt>
                <c:pt idx="8">
                  <c:v>2018/2017</c:v>
                </c:pt>
                <c:pt idx="9">
                  <c:v>2019/2018</c:v>
                </c:pt>
                <c:pt idx="10">
                  <c:v>2020/2019</c:v>
                </c:pt>
                <c:pt idx="11">
                  <c:v>2021/2020</c:v>
                </c:pt>
              </c:strCache>
            </c:strRef>
          </c:cat>
          <c:val>
            <c:numRef>
              <c:f>Sheet1!$AA$2:$AA$14</c:f>
              <c:numCache>
                <c:formatCode>General</c:formatCode>
                <c:ptCount val="12"/>
                <c:pt idx="0">
                  <c:v>0.31539999999999996</c:v>
                </c:pt>
                <c:pt idx="1">
                  <c:v>0.27829999999999999</c:v>
                </c:pt>
                <c:pt idx="2">
                  <c:v>0.2969</c:v>
                </c:pt>
                <c:pt idx="3">
                  <c:v>0.6079</c:v>
                </c:pt>
                <c:pt idx="4">
                  <c:v>0.9052</c:v>
                </c:pt>
                <c:pt idx="5">
                  <c:v>0.64890000000000003</c:v>
                </c:pt>
                <c:pt idx="6">
                  <c:v>0.72429999999999994</c:v>
                </c:pt>
                <c:pt idx="7">
                  <c:v>0.86950000000000005</c:v>
                </c:pt>
                <c:pt idx="8">
                  <c:v>1.8672</c:v>
                </c:pt>
                <c:pt idx="9">
                  <c:v>3.7275999999999998</c:v>
                </c:pt>
                <c:pt idx="10">
                  <c:v>2.5606</c:v>
                </c:pt>
                <c:pt idx="11">
                  <c:v>11.409000000000001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E504-4921-8A0A-649464D9BDF9}"/>
            </c:ext>
          </c:extLst>
        </c:ser>
        <c:ser>
          <c:idx val="15"/>
          <c:order val="15"/>
          <c:tx>
            <c:strRef>
              <c:f>Sheet1!$AB$1</c:f>
              <c:strCache>
                <c:ptCount val="1"/>
                <c:pt idx="0">
                  <c:v>Sum of الزراعة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Sheet1!$L$2:$L$14</c:f>
              <c:strCache>
                <c:ptCount val="12"/>
                <c:pt idx="0">
                  <c:v>2010/2009</c:v>
                </c:pt>
                <c:pt idx="1">
                  <c:v>2011/2010</c:v>
                </c:pt>
                <c:pt idx="2">
                  <c:v>2012/2011</c:v>
                </c:pt>
                <c:pt idx="3">
                  <c:v>2013/2012</c:v>
                </c:pt>
                <c:pt idx="4">
                  <c:v>2014/2013</c:v>
                </c:pt>
                <c:pt idx="5">
                  <c:v>2015/2014</c:v>
                </c:pt>
                <c:pt idx="6">
                  <c:v>2016/2015</c:v>
                </c:pt>
                <c:pt idx="7">
                  <c:v>2017/2016</c:v>
                </c:pt>
                <c:pt idx="8">
                  <c:v>2018/2017</c:v>
                </c:pt>
                <c:pt idx="9">
                  <c:v>2019/2018</c:v>
                </c:pt>
                <c:pt idx="10">
                  <c:v>2020/2019</c:v>
                </c:pt>
                <c:pt idx="11">
                  <c:v>2021/2020</c:v>
                </c:pt>
              </c:strCache>
            </c:strRef>
          </c:cat>
          <c:val>
            <c:numRef>
              <c:f>Sheet1!$AB$2:$AB$14</c:f>
              <c:numCache>
                <c:formatCode>General</c:formatCode>
                <c:ptCount val="12"/>
                <c:pt idx="0">
                  <c:v>2.8780999999999999</c:v>
                </c:pt>
                <c:pt idx="1">
                  <c:v>3.2756999999999996</c:v>
                </c:pt>
                <c:pt idx="2">
                  <c:v>2.6726999999999999</c:v>
                </c:pt>
                <c:pt idx="3">
                  <c:v>2.9504000000000001</c:v>
                </c:pt>
                <c:pt idx="4">
                  <c:v>4.1461000000000006</c:v>
                </c:pt>
                <c:pt idx="5">
                  <c:v>5.2130000000000001</c:v>
                </c:pt>
                <c:pt idx="6">
                  <c:v>5.0392000000000001</c:v>
                </c:pt>
                <c:pt idx="7">
                  <c:v>6.0386000000000006</c:v>
                </c:pt>
                <c:pt idx="8">
                  <c:v>32.385899999999999</c:v>
                </c:pt>
                <c:pt idx="9">
                  <c:v>31.4253</c:v>
                </c:pt>
                <c:pt idx="10">
                  <c:v>28.732200000000002</c:v>
                </c:pt>
                <c:pt idx="11">
                  <c:v>38.4375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E504-4921-8A0A-649464D9BDF9}"/>
            </c:ext>
          </c:extLst>
        </c:ser>
        <c:ser>
          <c:idx val="16"/>
          <c:order val="16"/>
          <c:tx>
            <c:strRef>
              <c:f>Sheet1!$AC$1</c:f>
              <c:strCache>
                <c:ptCount val="1"/>
                <c:pt idx="0">
                  <c:v>Sum of البترول الخام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Sheet1!$L$2:$L$14</c:f>
              <c:strCache>
                <c:ptCount val="12"/>
                <c:pt idx="0">
                  <c:v>2010/2009</c:v>
                </c:pt>
                <c:pt idx="1">
                  <c:v>2011/2010</c:v>
                </c:pt>
                <c:pt idx="2">
                  <c:v>2012/2011</c:v>
                </c:pt>
                <c:pt idx="3">
                  <c:v>2013/2012</c:v>
                </c:pt>
                <c:pt idx="4">
                  <c:v>2014/2013</c:v>
                </c:pt>
                <c:pt idx="5">
                  <c:v>2015/2014</c:v>
                </c:pt>
                <c:pt idx="6">
                  <c:v>2016/2015</c:v>
                </c:pt>
                <c:pt idx="7">
                  <c:v>2017/2016</c:v>
                </c:pt>
                <c:pt idx="8">
                  <c:v>2018/2017</c:v>
                </c:pt>
                <c:pt idx="9">
                  <c:v>2019/2018</c:v>
                </c:pt>
                <c:pt idx="10">
                  <c:v>2020/2019</c:v>
                </c:pt>
                <c:pt idx="11">
                  <c:v>2021/2020</c:v>
                </c:pt>
              </c:strCache>
            </c:strRef>
          </c:cat>
          <c:val>
            <c:numRef>
              <c:f>Sheet1!$AC$2:$AC$14</c:f>
              <c:numCache>
                <c:formatCode>General</c:formatCode>
                <c:ptCount val="12"/>
                <c:pt idx="0">
                  <c:v>17.352</c:v>
                </c:pt>
                <c:pt idx="1">
                  <c:v>2.7454999999999998</c:v>
                </c:pt>
                <c:pt idx="2">
                  <c:v>4.5366999999999997</c:v>
                </c:pt>
                <c:pt idx="3">
                  <c:v>23.072800000000001</c:v>
                </c:pt>
                <c:pt idx="4">
                  <c:v>21.686199999999999</c:v>
                </c:pt>
                <c:pt idx="5">
                  <c:v>21.087199999999999</c:v>
                </c:pt>
                <c:pt idx="6">
                  <c:v>29.613700000000001</c:v>
                </c:pt>
                <c:pt idx="7">
                  <c:v>6.8529999999999998</c:v>
                </c:pt>
                <c:pt idx="8">
                  <c:v>17.524470000000001</c:v>
                </c:pt>
                <c:pt idx="9">
                  <c:v>66.540000000000006</c:v>
                </c:pt>
                <c:pt idx="10">
                  <c:v>34.799599999999998</c:v>
                </c:pt>
                <c:pt idx="11">
                  <c:v>40.8245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E504-4921-8A0A-649464D9BDF9}"/>
            </c:ext>
          </c:extLst>
        </c:ser>
        <c:ser>
          <c:idx val="17"/>
          <c:order val="17"/>
          <c:tx>
            <c:strRef>
              <c:f>Sheet1!$AD$1</c:f>
              <c:strCache>
                <c:ptCount val="1"/>
                <c:pt idx="0">
                  <c:v>Sum of الغاز الطبيعي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Sheet1!$L$2:$L$14</c:f>
              <c:strCache>
                <c:ptCount val="12"/>
                <c:pt idx="0">
                  <c:v>2010/2009</c:v>
                </c:pt>
                <c:pt idx="1">
                  <c:v>2011/2010</c:v>
                </c:pt>
                <c:pt idx="2">
                  <c:v>2012/2011</c:v>
                </c:pt>
                <c:pt idx="3">
                  <c:v>2013/2012</c:v>
                </c:pt>
                <c:pt idx="4">
                  <c:v>2014/2013</c:v>
                </c:pt>
                <c:pt idx="5">
                  <c:v>2015/2014</c:v>
                </c:pt>
                <c:pt idx="6">
                  <c:v>2016/2015</c:v>
                </c:pt>
                <c:pt idx="7">
                  <c:v>2017/2016</c:v>
                </c:pt>
                <c:pt idx="8">
                  <c:v>2018/2017</c:v>
                </c:pt>
                <c:pt idx="9">
                  <c:v>2019/2018</c:v>
                </c:pt>
                <c:pt idx="10">
                  <c:v>2020/2019</c:v>
                </c:pt>
                <c:pt idx="11">
                  <c:v>2021/2020</c:v>
                </c:pt>
              </c:strCache>
            </c:strRef>
          </c:cat>
          <c:val>
            <c:numRef>
              <c:f>Sheet1!$AD$2:$AD$14</c:f>
              <c:numCache>
                <c:formatCode>General</c:formatCode>
                <c:ptCount val="12"/>
                <c:pt idx="0">
                  <c:v>3.5836999999999999</c:v>
                </c:pt>
                <c:pt idx="1">
                  <c:v>9.2349999999999994</c:v>
                </c:pt>
                <c:pt idx="2">
                  <c:v>14.779200000000001</c:v>
                </c:pt>
                <c:pt idx="3">
                  <c:v>3.6228000000000002</c:v>
                </c:pt>
                <c:pt idx="4">
                  <c:v>3.6093999999999999</c:v>
                </c:pt>
                <c:pt idx="5">
                  <c:v>4.1890000000000001</c:v>
                </c:pt>
                <c:pt idx="6">
                  <c:v>5.5632000000000001</c:v>
                </c:pt>
                <c:pt idx="7">
                  <c:v>24.224499999999999</c:v>
                </c:pt>
                <c:pt idx="8">
                  <c:v>42.868499999999997</c:v>
                </c:pt>
                <c:pt idx="9">
                  <c:v>16.817900000000002</c:v>
                </c:pt>
                <c:pt idx="10">
                  <c:v>7.3323999999999998</c:v>
                </c:pt>
                <c:pt idx="11">
                  <c:v>8.5239999999999991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E504-4921-8A0A-649464D9BDF9}"/>
            </c:ext>
          </c:extLst>
        </c:ser>
        <c:ser>
          <c:idx val="18"/>
          <c:order val="18"/>
          <c:tx>
            <c:strRef>
              <c:f>Sheet1!$AE$1</c:f>
              <c:strCache>
                <c:ptCount val="1"/>
                <c:pt idx="0">
                  <c:v>Sum of استخراجات اخري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Sheet1!$L$2:$L$14</c:f>
              <c:strCache>
                <c:ptCount val="12"/>
                <c:pt idx="0">
                  <c:v>2010/2009</c:v>
                </c:pt>
                <c:pt idx="1">
                  <c:v>2011/2010</c:v>
                </c:pt>
                <c:pt idx="2">
                  <c:v>2012/2011</c:v>
                </c:pt>
                <c:pt idx="3">
                  <c:v>2013/2012</c:v>
                </c:pt>
                <c:pt idx="4">
                  <c:v>2014/2013</c:v>
                </c:pt>
                <c:pt idx="5">
                  <c:v>2015/2014</c:v>
                </c:pt>
                <c:pt idx="6">
                  <c:v>2016/2015</c:v>
                </c:pt>
                <c:pt idx="7">
                  <c:v>2017/2016</c:v>
                </c:pt>
                <c:pt idx="8">
                  <c:v>2018/2017</c:v>
                </c:pt>
                <c:pt idx="9">
                  <c:v>2019/2018</c:v>
                </c:pt>
                <c:pt idx="10">
                  <c:v>2020/2019</c:v>
                </c:pt>
                <c:pt idx="11">
                  <c:v>2021/2020</c:v>
                </c:pt>
              </c:strCache>
            </c:strRef>
          </c:cat>
          <c:val>
            <c:numRef>
              <c:f>Sheet1!$AE$2:$AE$14</c:f>
              <c:numCache>
                <c:formatCode>General</c:formatCode>
                <c:ptCount val="12"/>
                <c:pt idx="0">
                  <c:v>8.6E-3</c:v>
                </c:pt>
                <c:pt idx="1">
                  <c:v>1.4E-3</c:v>
                </c:pt>
                <c:pt idx="2">
                  <c:v>3.5000000000000001E-3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1.49E-2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2.23E-2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E504-4921-8A0A-649464D9BD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7141375"/>
        <c:axId val="607140127"/>
      </c:barChart>
      <c:catAx>
        <c:axId val="607141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7140127"/>
        <c:crosses val="autoZero"/>
        <c:auto val="1"/>
        <c:lblAlgn val="ctr"/>
        <c:lblOffset val="100"/>
        <c:noMultiLvlLbl val="0"/>
      </c:catAx>
      <c:valAx>
        <c:axId val="607140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\ [$مليار جنية]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7141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16</xdr:row>
      <xdr:rowOff>152401</xdr:rowOff>
    </xdr:from>
    <xdr:to>
      <xdr:col>5</xdr:col>
      <xdr:colOff>328007</xdr:colOff>
      <xdr:row>30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DCFE00-2D39-4D9E-8296-2DBA94F18A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13608</xdr:colOff>
      <xdr:row>15</xdr:row>
      <xdr:rowOff>110216</xdr:rowOff>
    </xdr:from>
    <xdr:to>
      <xdr:col>31</xdr:col>
      <xdr:colOff>0</xdr:colOff>
      <xdr:row>68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28ED822-3F9C-4A50-8B0D-787EB633FA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o" refreshedDate="44544.900763541664" createdVersion="7" refreshedVersion="7" minRefreshableVersion="3" recordCount="12" xr:uid="{00000000-000A-0000-FFFF-FFFFB4050000}">
  <cacheSource type="worksheet">
    <worksheetSource name="Table1"/>
  </cacheSource>
  <cacheFields count="25">
    <cacheField name="المؤشر" numFmtId="0">
      <sharedItems/>
    </cacheField>
    <cacheField name="المصدر" numFmtId="0">
      <sharedItems/>
    </cacheField>
    <cacheField name="وحدة القياس" numFmtId="0">
      <sharedItems/>
    </cacheField>
    <cacheField name="الربع" numFmtId="0">
      <sharedItems/>
    </cacheField>
    <cacheField name="السنة" numFmtId="0">
      <sharedItems count="12">
        <s v="2021/2020"/>
        <s v="2020/2019"/>
        <s v="2019/2018"/>
        <s v="2018/2017"/>
        <s v="2017/2016"/>
        <s v="2016/2015"/>
        <s v="2015/2014"/>
        <s v="2014/2013"/>
        <s v="2013/2012"/>
        <s v="2012/2011"/>
        <s v="2011/2010"/>
        <s v="2010/2009"/>
      </sharedItems>
    </cacheField>
    <cacheField name="الزراعة" numFmtId="0">
      <sharedItems containsSemiMixedTypes="0" containsString="0" containsNumber="1" minValue="2.6726999999999999" maxValue="38.4375"/>
    </cacheField>
    <cacheField name="البترول الخام" numFmtId="0">
      <sharedItems containsSemiMixedTypes="0" containsString="0" containsNumber="1" minValue="2.7454999999999998" maxValue="66.540000000000006"/>
    </cacheField>
    <cacheField name="الغاز الطبيعي" numFmtId="0">
      <sharedItems containsSemiMixedTypes="0" containsString="0" containsNumber="1" minValue="3.5836999999999999" maxValue="42.868499999999997"/>
    </cacheField>
    <cacheField name="استخراجات اخري" numFmtId="0">
      <sharedItems containsSemiMixedTypes="0" containsString="0" containsNumber="1" minValue="0" maxValue="2.23E-2"/>
    </cacheField>
    <cacheField name="تكرير البترول" numFmtId="0">
      <sharedItems containsSemiMixedTypes="0" containsString="0" containsNumber="1" minValue="0.27829999999999999" maxValue="11.409000000000001"/>
    </cacheField>
    <cacheField name="تحويلية أخري" numFmtId="0">
      <sharedItems containsSemiMixedTypes="0" containsString="0" containsNumber="1" minValue="2.7515999999999998" maxValue="49.829800000000006"/>
    </cacheField>
    <cacheField name="الكهرباء" numFmtId="0">
      <sharedItems containsSemiMixedTypes="0" containsString="0" containsNumber="1" minValue="12.139899999999999" maxValue="124.5407"/>
    </cacheField>
    <cacheField name="المياة والصرف الصحي" numFmtId="0">
      <sharedItems containsSemiMixedTypes="0" containsString="0" containsNumber="1" minValue="10.1052" maxValue="48.866500000000002"/>
    </cacheField>
    <cacheField name="تشييد وبناء" numFmtId="0">
      <sharedItems containsSemiMixedTypes="0" containsString="0" containsNumber="1" minValue="0.80979999999999996" maxValue="33.599499999999999"/>
    </cacheField>
    <cacheField name="النقل والتخزين" numFmtId="0">
      <sharedItems containsSemiMixedTypes="0" containsString="0" containsNumber="1" minValue="14.443100000000001" maxValue="105.8271"/>
    </cacheField>
    <cacheField name="الاتصالات والمعلومات" numFmtId="0">
      <sharedItems containsSemiMixedTypes="0" containsString="0" containsNumber="1" minValue="0.74760000000000004" maxValue="19.273499999999999"/>
    </cacheField>
    <cacheField name="قناة السويس" numFmtId="0">
      <sharedItems containsSemiMixedTypes="0" containsString="0" containsNumber="1" minValue="0.29049999999999998" maxValue="31.447800000000001"/>
    </cacheField>
    <cacheField name="تجارة الجملة والتجزئة" numFmtId="0">
      <sharedItems containsSemiMixedTypes="0" containsString="0" containsNumber="1" minValue="0.23699999999999999" maxValue="6.5356000000000005"/>
    </cacheField>
    <cacheField name="الوساطة المالية والتأمين والضمان الاجتماعي" numFmtId="0">
      <sharedItems containsSemiMixedTypes="0" containsString="0" containsNumber="1" minValue="4.6299999999999994E-2" maxValue="1.5085"/>
    </cacheField>
    <cacheField name="المطاعم والفنادق" numFmtId="0">
      <sharedItems containsSemiMixedTypes="0" containsString="0" containsNumber="1" minValue="0.18630000000000002" maxValue="1.3380999999999998"/>
    </cacheField>
    <cacheField name="الانشطة العقارية" numFmtId="0">
      <sharedItems containsSemiMixedTypes="0" containsString="0" containsNumber="1" minValue="0.62739999999999996" maxValue="24.495000000000001"/>
    </cacheField>
    <cacheField name="خدمات التعليم" numFmtId="0">
      <sharedItems containsSemiMixedTypes="0" containsString="0" containsNumber="1" minValue="4.5126999999999997" maxValue="32.405900000000003"/>
    </cacheField>
    <cacheField name="الخدمات الصحية" numFmtId="0">
      <sharedItems containsSemiMixedTypes="0" containsString="0" containsNumber="1" minValue="2.7403000000000004" maxValue="22.907599999999999"/>
    </cacheField>
    <cacheField name="خدمات اخري" numFmtId="0">
      <sharedItems containsSemiMixedTypes="0" containsString="0" containsNumber="1" minValue="7.8239999999999998" maxValue="82.422300000000007"/>
    </cacheField>
    <cacheField name="إجمالي الاستثمارات العامة" numFmtId="1">
      <sharedItems containsSemiMixedTypes="0" containsString="0" containsNumber="1" containsInteger="1" minValue="87" maxValue="5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s v="الاستثمارات العامة المنفذة بالأسعار الجارية"/>
    <s v="وزارة التخطيط والتنمية الاقتصادية"/>
    <s v="مليون جنيه"/>
    <s v="جملة"/>
    <x v="0"/>
    <n v="38.4375"/>
    <n v="40.8245"/>
    <n v="8.5239999999999991"/>
    <n v="2.23E-2"/>
    <n v="11.409000000000001"/>
    <n v="38.249199999999995"/>
    <n v="37.787099999999995"/>
    <n v="48.866500000000002"/>
    <n v="33.294400000000003"/>
    <n v="105.8271"/>
    <n v="19.273499999999999"/>
    <n v="15.2369"/>
    <n v="0.54179999999999995"/>
    <n v="6.9599999999999995E-2"/>
    <n v="0.40799999999999997"/>
    <n v="13.790100000000001"/>
    <n v="32.314700000000002"/>
    <n v="22.907599999999999"/>
    <n v="82.422300000000007"/>
    <n v="560"/>
  </r>
  <r>
    <s v="الاستثمارات العامة المنفذة بالأسعار الجارية"/>
    <s v="وزارة التخطيط والتنمية الاقتصادية"/>
    <s v="مليون جنيه"/>
    <s v="جملة"/>
    <x v="1"/>
    <n v="28.732200000000002"/>
    <n v="34.799599999999998"/>
    <n v="7.3323999999999998"/>
    <n v="0"/>
    <n v="2.5606"/>
    <n v="46.273400000000002"/>
    <n v="48.903400000000005"/>
    <n v="36.013500000000001"/>
    <n v="29.649099999999997"/>
    <n v="88.412899999999993"/>
    <n v="6.7450000000000001"/>
    <n v="10.333399999999999"/>
    <n v="0.80159999999999998"/>
    <n v="0.98760000000000003"/>
    <n v="0.31880000000000003"/>
    <n v="23.517299999999999"/>
    <n v="32.405900000000003"/>
    <n v="17.6281"/>
    <n v="75.896500000000003"/>
    <n v="491"/>
  </r>
  <r>
    <s v="الاستثمارات العامة المنفذة بالأسعار الجارية"/>
    <s v="وزارة التخطيط والتنمية الاقتصادية"/>
    <s v="مليون جنيه"/>
    <s v="جملة"/>
    <x v="2"/>
    <n v="31.4253"/>
    <n v="66.540000000000006"/>
    <n v="16.817900000000002"/>
    <n v="0"/>
    <n v="3.7275999999999998"/>
    <n v="49.829800000000006"/>
    <n v="73.084699999999998"/>
    <n v="21.923200000000001"/>
    <n v="32.4846"/>
    <n v="74.751300000000001"/>
    <n v="5.5851999999999995"/>
    <n v="18.404599999999999"/>
    <n v="6.5356000000000005"/>
    <n v="0.54630000000000001"/>
    <n v="1.0797999999999999"/>
    <n v="21.153700000000001"/>
    <n v="21.244400000000002"/>
    <n v="12.064"/>
    <n v="56.466000000000001"/>
    <n v="513"/>
  </r>
  <r>
    <s v="الاستثمارات العامة المنفذة بالأسعار الجارية"/>
    <s v="وزارة التخطيط والتنمية الاقتصادية"/>
    <s v="مليون جنيه"/>
    <s v="جملة"/>
    <x v="3"/>
    <n v="32.385899999999999"/>
    <n v="17.524470000000001"/>
    <n v="42.868499999999997"/>
    <n v="0"/>
    <n v="1.8672"/>
    <n v="45.610750000000003"/>
    <n v="96.547309999999996"/>
    <n v="16.170750000000002"/>
    <n v="33.599499999999999"/>
    <n v="73.756270000000001"/>
    <n v="3.6602899999999998"/>
    <n v="19.162779999999998"/>
    <n v="2.09673"/>
    <n v="4.6299999999999994E-2"/>
    <n v="0.69259999999999999"/>
    <n v="22.5472"/>
    <n v="17.22794"/>
    <n v="7.5150800000000002"/>
    <n v="37.19435"/>
    <n v="470"/>
  </r>
  <r>
    <s v="الاستثمارات العامة المنفذة بالأسعار الجارية"/>
    <s v="وزارة التخطيط والتنمية الاقتصادية"/>
    <s v="مليون جنيه"/>
    <s v="جملة"/>
    <x v="4"/>
    <n v="6.0386000000000006"/>
    <n v="6.8529999999999998"/>
    <n v="24.224499999999999"/>
    <n v="1.49E-2"/>
    <n v="0.86950000000000005"/>
    <n v="2.8620999999999999"/>
    <n v="124.5407"/>
    <n v="18.7652"/>
    <n v="1.4742999999999999"/>
    <n v="30.497599999999998"/>
    <n v="2.2216"/>
    <n v="14.028799999999999"/>
    <n v="0.74850000000000005"/>
    <n v="9.7799999999999998E-2"/>
    <n v="0.3231"/>
    <n v="24.495000000000001"/>
    <n v="12.7028"/>
    <n v="8.8367999999999984"/>
    <n v="21.251900000000003"/>
    <n v="300"/>
  </r>
  <r>
    <s v="الاستثمارات العامة المنفذة بالأسعار الجارية"/>
    <s v="وزارة التخطيط والتنمية الاقتصادية"/>
    <s v="مليون جنيه"/>
    <s v="جملة"/>
    <x v="5"/>
    <n v="5.0392000000000001"/>
    <n v="29.613700000000001"/>
    <n v="5.5632000000000001"/>
    <n v="0"/>
    <n v="0.72429999999999994"/>
    <n v="6.0831"/>
    <n v="17.0549"/>
    <n v="16.5383"/>
    <n v="4.63"/>
    <n v="26.1754"/>
    <n v="0.94359999999999999"/>
    <n v="31.447800000000001"/>
    <n v="0.4073"/>
    <n v="0.14460000000000001"/>
    <n v="0.18630000000000002"/>
    <n v="7.8819999999999997"/>
    <n v="6.4188999999999998"/>
    <n v="3.4546999999999999"/>
    <n v="19.114699999999999"/>
    <n v="181"/>
  </r>
  <r>
    <s v="الاستثمارات العامة المنفذة بالأسعار الجارية"/>
    <s v="وزارة التخطيط والتنمية الاقتصادية"/>
    <s v="مليون جنيه"/>
    <s v="جملة"/>
    <x v="6"/>
    <n v="5.2130000000000001"/>
    <n v="21.087199999999999"/>
    <n v="4.1890000000000001"/>
    <n v="0"/>
    <n v="0.64890000000000003"/>
    <n v="6.2831000000000001"/>
    <n v="13.279"/>
    <n v="13.526200000000001"/>
    <n v="1.1112"/>
    <n v="20.846799999999998"/>
    <n v="0.90149999999999997"/>
    <n v="27.468"/>
    <n v="0.28100000000000003"/>
    <n v="0.75990000000000002"/>
    <n v="0.31730000000000003"/>
    <n v="7.39"/>
    <n v="8.2187999999999999"/>
    <n v="3.4"/>
    <n v="12.872399999999999"/>
    <n v="147"/>
  </r>
  <r>
    <s v="الاستثمارات العامة المنفذة بالأسعار الجارية"/>
    <s v="وزارة التخطيط والتنمية الاقتصادية"/>
    <s v="مليون جنيه"/>
    <s v="جملة"/>
    <x v="7"/>
    <n v="4.1461000000000006"/>
    <n v="21.686199999999999"/>
    <n v="3.6093999999999999"/>
    <n v="0"/>
    <n v="0.9052"/>
    <n v="5.2051999999999996"/>
    <n v="12.139899999999999"/>
    <n v="12.0876"/>
    <n v="0.81100000000000005"/>
    <n v="16.258399999999998"/>
    <n v="0.74760000000000004"/>
    <n v="0.43489999999999995"/>
    <n v="0.63879999999999992"/>
    <n v="0.97260000000000002"/>
    <n v="1.3380999999999998"/>
    <n v="6.1011999999999995"/>
    <n v="6.5505000000000004"/>
    <n v="3.6877"/>
    <n v="13.1532"/>
    <n v="110"/>
  </r>
  <r>
    <s v="الاستثمارات العامة المنفذة بالأسعار الجارية"/>
    <s v="وزارة التخطيط والتنمية الاقتصادية"/>
    <s v="مليون جنيه"/>
    <s v="جملة"/>
    <x v="8"/>
    <n v="2.9504000000000001"/>
    <n v="23.072800000000001"/>
    <n v="3.6228000000000002"/>
    <n v="0"/>
    <n v="0.6079"/>
    <n v="3.4146000000000001"/>
    <n v="15.662799999999999"/>
    <n v="10.1052"/>
    <n v="0.86699999999999999"/>
    <n v="14.443100000000001"/>
    <n v="0.93189999999999995"/>
    <n v="0.35270000000000001"/>
    <n v="0.49469999999999997"/>
    <n v="1.0604"/>
    <n v="0.33139999999999997"/>
    <n v="0.62739999999999996"/>
    <n v="4.8891"/>
    <n v="2.7403000000000004"/>
    <n v="9.7255000000000003"/>
    <n v="95"/>
  </r>
  <r>
    <s v="الاستثمارات العامة المنفذة بالأسعار الجارية"/>
    <s v="وزارة التخطيط والتنمية الاقتصادية"/>
    <s v="مليون جنيه"/>
    <s v="جملة"/>
    <x v="9"/>
    <n v="2.6726999999999999"/>
    <n v="4.5366999999999997"/>
    <n v="14.779200000000001"/>
    <n v="3.5000000000000001E-3"/>
    <n v="0.2969"/>
    <n v="2.7515999999999998"/>
    <n v="18.401"/>
    <n v="10.392299999999999"/>
    <n v="0.80979999999999996"/>
    <n v="17.860400000000002"/>
    <n v="1.0236000000000001"/>
    <n v="0.29049999999999998"/>
    <n v="0.2697"/>
    <n v="1.5085"/>
    <n v="0.57099999999999995"/>
    <n v="1.1448"/>
    <n v="4.5126999999999997"/>
    <n v="2.8968000000000003"/>
    <n v="7.8239999999999998"/>
    <n v="92"/>
  </r>
  <r>
    <s v="الاستثمارات العامة المنفذة بالأسعار الجارية"/>
    <s v="وزارة التخطيط والتنمية الاقتصادية"/>
    <s v="مليون جنيه"/>
    <s v="جملة"/>
    <x v="10"/>
    <n v="3.2756999999999996"/>
    <n v="2.7454999999999998"/>
    <n v="9.2349999999999994"/>
    <n v="1.4E-3"/>
    <n v="0.27829999999999999"/>
    <n v="4.6071999999999997"/>
    <n v="16.880099999999999"/>
    <n v="10.930899999999999"/>
    <n v="0.96250000000000002"/>
    <n v="15.830299999999999"/>
    <n v="1.6484000000000001"/>
    <n v="0.47539999999999999"/>
    <n v="0.2404"/>
    <n v="0.87490000000000001"/>
    <n v="0.37330000000000002"/>
    <n v="1.7439"/>
    <n v="4.6271000000000004"/>
    <n v="3.2073"/>
    <n v="9.4527000000000001"/>
    <n v="87"/>
  </r>
  <r>
    <s v="الاستثمارات العامة المنفذة بالأسعار الجارية"/>
    <s v="وزارة التخطيط والتنمية الاقتصادية"/>
    <s v="مليون جنيه"/>
    <s v="جملة"/>
    <x v="11"/>
    <n v="2.8780999999999999"/>
    <n v="17.352"/>
    <n v="3.5836999999999999"/>
    <n v="8.6E-3"/>
    <n v="0.31539999999999996"/>
    <n v="6.9213000000000005"/>
    <n v="15.8626"/>
    <n v="17.504099999999998"/>
    <n v="1.0630999999999999"/>
    <n v="16.764200000000002"/>
    <n v="2.1951000000000001"/>
    <n v="0.5645"/>
    <n v="0.23699999999999999"/>
    <n v="0.89989999999999992"/>
    <n v="0.34549999999999997"/>
    <n v="1.8699000000000001"/>
    <n v="4.6070000000000002"/>
    <n v="3.6601999999999997"/>
    <n v="8.4567000000000014"/>
    <n v="10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PivotTable2" cacheId="286" applyNumberFormats="0" applyBorderFormats="0" applyFontFormats="0" applyPatternFormats="0" applyAlignmentFormats="0" applyWidthHeightFormats="1" dataCaption="Values" grandTotalCaption="+F35" updatedVersion="7" minRefreshableVersion="3" useAutoFormatting="1" itemPrintTitles="1" createdVersion="7" indent="0" outline="1" outlineData="1" multipleFieldFilters="0" chartFormat="5">
  <location ref="L1:AE14" firstHeaderRow="0" firstDataRow="1" firstDataCol="1"/>
  <pivotFields count="25">
    <pivotField showAll="0"/>
    <pivotField showAll="0"/>
    <pivotField showAll="0"/>
    <pivotField showAll="0"/>
    <pivotField axis="axisRow" showAll="0">
      <items count="13"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numFmtId="1" showAll="0"/>
  </pivotFields>
  <rowFields count="1">
    <field x="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1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</colItems>
  <dataFields count="19">
    <dataField name="Sum of خدمات اخري" fld="23" baseField="0" baseItem="0"/>
    <dataField name="Sum of الخدمات الصحية" fld="22" baseField="0" baseItem="0"/>
    <dataField name="Sum of خدمات التعليم" fld="21" baseField="0" baseItem="0"/>
    <dataField name="Sum of الانشطة العقارية" fld="20" baseField="0" baseItem="0"/>
    <dataField name="Sum of المطاعم والفنادق" fld="19" baseField="0" baseItem="0"/>
    <dataField name="Sum of الوساطة المالية والتأمين والضمان الاجتماعي" fld="18" baseField="0" baseItem="0"/>
    <dataField name="Sum of تجارة الجملة والتجزئة" fld="17" baseField="0" baseItem="0"/>
    <dataField name="Sum of قناة السويس" fld="16" baseField="0" baseItem="0"/>
    <dataField name="Sum of الاتصالات والمعلومات" fld="15" baseField="0" baseItem="0"/>
    <dataField name="Sum of النقل والتخزين" fld="14" baseField="0" baseItem="0"/>
    <dataField name="Sum of تشييد وبناء" fld="13" baseField="0" baseItem="0"/>
    <dataField name="Sum of المياة والصرف الصحي" fld="12" baseField="0" baseItem="0"/>
    <dataField name="Sum of الكهرباء" fld="11" baseField="0" baseItem="0"/>
    <dataField name="Sum of تحويلية أخري" fld="10" baseField="0" baseItem="0"/>
    <dataField name="Sum of تكرير البترول" fld="9" baseField="0" baseItem="0"/>
    <dataField name="Sum of الزراعة" fld="5" baseField="0" baseItem="0"/>
    <dataField name="Sum of البترول الخام" fld="6" baseField="0" baseItem="0"/>
    <dataField name="Sum of الغاز الطبيعي" fld="7" baseField="0" baseItem="0"/>
    <dataField name="Sum of استخراجات اخري" fld="8" baseField="0" baseItem="0"/>
  </dataFields>
  <chartFormats count="38">
    <chartFormat chart="0" format="0" series="1">
      <pivotArea type="data" outline="0" fieldPosition="0">
        <references count="1">
          <reference field="4294967294" count="1" selected="0">
            <x v="15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6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7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8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14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13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12"/>
          </reference>
        </references>
      </pivotArea>
    </chartFormat>
    <chartFormat chart="0" format="8" series="1">
      <pivotArea type="data" outline="0" fieldPosition="0">
        <references count="1">
          <reference field="4294967294" count="1" selected="0">
            <x v="11"/>
          </reference>
        </references>
      </pivotArea>
    </chartFormat>
    <chartFormat chart="0" format="9" series="1">
      <pivotArea type="data" outline="0" fieldPosition="0">
        <references count="1">
          <reference field="4294967294" count="1" selected="0">
            <x v="10"/>
          </reference>
        </references>
      </pivotArea>
    </chartFormat>
    <chartFormat chart="0" format="10" series="1">
      <pivotArea type="data" outline="0" fieldPosition="0">
        <references count="1">
          <reference field="4294967294" count="1" selected="0">
            <x v="9"/>
          </reference>
        </references>
      </pivotArea>
    </chartFormat>
    <chartFormat chart="0" format="11" series="1">
      <pivotArea type="data" outline="0" fieldPosition="0">
        <references count="1">
          <reference field="4294967294" count="1" selected="0">
            <x v="8"/>
          </reference>
        </references>
      </pivotArea>
    </chartFormat>
    <chartFormat chart="0" format="12" series="1">
      <pivotArea type="data" outline="0" fieldPosition="0">
        <references count="1">
          <reference field="4294967294" count="1" selected="0">
            <x v="7"/>
          </reference>
        </references>
      </pivotArea>
    </chartFormat>
    <chartFormat chart="0" format="13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0" format="14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0" format="15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16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1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1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" format="6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1" format="7" series="1">
      <pivotArea type="data" outline="0" fieldPosition="0">
        <references count="1">
          <reference field="4294967294" count="1" selected="0">
            <x v="7"/>
          </reference>
        </references>
      </pivotArea>
    </chartFormat>
    <chartFormat chart="1" format="8" series="1">
      <pivotArea type="data" outline="0" fieldPosition="0">
        <references count="1">
          <reference field="4294967294" count="1" selected="0">
            <x v="8"/>
          </reference>
        </references>
      </pivotArea>
    </chartFormat>
    <chartFormat chart="1" format="9" series="1">
      <pivotArea type="data" outline="0" fieldPosition="0">
        <references count="1">
          <reference field="4294967294" count="1" selected="0">
            <x v="9"/>
          </reference>
        </references>
      </pivotArea>
    </chartFormat>
    <chartFormat chart="1" format="10" series="1">
      <pivotArea type="data" outline="0" fieldPosition="0">
        <references count="1">
          <reference field="4294967294" count="1" selected="0">
            <x v="10"/>
          </reference>
        </references>
      </pivotArea>
    </chartFormat>
    <chartFormat chart="1" format="11" series="1">
      <pivotArea type="data" outline="0" fieldPosition="0">
        <references count="1">
          <reference field="4294967294" count="1" selected="0">
            <x v="11"/>
          </reference>
        </references>
      </pivotArea>
    </chartFormat>
    <chartFormat chart="1" format="12" series="1">
      <pivotArea type="data" outline="0" fieldPosition="0">
        <references count="1">
          <reference field="4294967294" count="1" selected="0">
            <x v="12"/>
          </reference>
        </references>
      </pivotArea>
    </chartFormat>
    <chartFormat chart="1" format="13" series="1">
      <pivotArea type="data" outline="0" fieldPosition="0">
        <references count="1">
          <reference field="4294967294" count="1" selected="0">
            <x v="13"/>
          </reference>
        </references>
      </pivotArea>
    </chartFormat>
    <chartFormat chart="1" format="14" series="1">
      <pivotArea type="data" outline="0" fieldPosition="0">
        <references count="1">
          <reference field="4294967294" count="1" selected="0">
            <x v="14"/>
          </reference>
        </references>
      </pivotArea>
    </chartFormat>
    <chartFormat chart="1" format="15" series="1">
      <pivotArea type="data" outline="0" fieldPosition="0">
        <references count="1">
          <reference field="4294967294" count="1" selected="0">
            <x v="15"/>
          </reference>
        </references>
      </pivotArea>
    </chartFormat>
    <chartFormat chart="1" format="16" series="1">
      <pivotArea type="data" outline="0" fieldPosition="0">
        <references count="1">
          <reference field="4294967294" count="1" selected="0">
            <x v="16"/>
          </reference>
        </references>
      </pivotArea>
    </chartFormat>
    <chartFormat chart="1" format="17" series="1">
      <pivotArea type="data" outline="0" fieldPosition="0">
        <references count="1">
          <reference field="4294967294" count="1" selected="0">
            <x v="17"/>
          </reference>
        </references>
      </pivotArea>
    </chartFormat>
    <chartFormat chart="1" format="18" series="1">
      <pivotArea type="data" outline="0" fieldPosition="0">
        <references count="1">
          <reference field="4294967294" count="1" selected="0">
            <x v="1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28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>
  <location ref="A1:B14" firstHeaderRow="1" firstDataRow="1" firstDataCol="1"/>
  <pivotFields count="25">
    <pivotField showAll="0"/>
    <pivotField showAll="0"/>
    <pivotField showAll="0"/>
    <pivotField showAll="0"/>
    <pivotField axis="axisRow" showAll="0">
      <items count="13"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اجمالى الاستثمارات المحلية" fld="24" baseField="4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Y13" totalsRowShown="0">
  <autoFilter ref="A1:Y13" xr:uid="{00000000-0009-0000-0100-000001000000}"/>
  <tableColumns count="25">
    <tableColumn id="1" xr3:uid="{00000000-0010-0000-0000-000001000000}" name="المؤشر"/>
    <tableColumn id="2" xr3:uid="{00000000-0010-0000-0000-000002000000}" name="المصدر"/>
    <tableColumn id="3" xr3:uid="{00000000-0010-0000-0000-000003000000}" name="وحدة القياس"/>
    <tableColumn id="4" xr3:uid="{00000000-0010-0000-0000-000004000000}" name="الربع"/>
    <tableColumn id="5" xr3:uid="{00000000-0010-0000-0000-000005000000}" name="السنة"/>
    <tableColumn id="6" xr3:uid="{00000000-0010-0000-0000-000006000000}" name="الزراعة">
      <calculatedColumnFormula>A24/1000</calculatedColumnFormula>
    </tableColumn>
    <tableColumn id="7" xr3:uid="{00000000-0010-0000-0000-000007000000}" name="البترول الخام">
      <calculatedColumnFormula>B24/1000</calculatedColumnFormula>
    </tableColumn>
    <tableColumn id="8" xr3:uid="{00000000-0010-0000-0000-000008000000}" name="الغاز الطبيعي">
      <calculatedColumnFormula>C24/1000</calculatedColumnFormula>
    </tableColumn>
    <tableColumn id="9" xr3:uid="{00000000-0010-0000-0000-000009000000}" name="استخراجات اخري">
      <calculatedColumnFormula>D24/1000</calculatedColumnFormula>
    </tableColumn>
    <tableColumn id="10" xr3:uid="{00000000-0010-0000-0000-00000A000000}" name="تكرير البترول">
      <calculatedColumnFormula>E24/1000</calculatedColumnFormula>
    </tableColumn>
    <tableColumn id="11" xr3:uid="{00000000-0010-0000-0000-00000B000000}" name="تحويلية أخري">
      <calculatedColumnFormula>F24/1000</calculatedColumnFormula>
    </tableColumn>
    <tableColumn id="12" xr3:uid="{00000000-0010-0000-0000-00000C000000}" name="الكهرباء">
      <calculatedColumnFormula>G24/1000</calculatedColumnFormula>
    </tableColumn>
    <tableColumn id="13" xr3:uid="{00000000-0010-0000-0000-00000D000000}" name="المياة والصرف الصحي">
      <calculatedColumnFormula>H24/1000</calculatedColumnFormula>
    </tableColumn>
    <tableColumn id="14" xr3:uid="{00000000-0010-0000-0000-00000E000000}" name="تشييد وبناء">
      <calculatedColumnFormula>I24/1000</calculatedColumnFormula>
    </tableColumn>
    <tableColumn id="15" xr3:uid="{00000000-0010-0000-0000-00000F000000}" name="النقل والتخزين">
      <calculatedColumnFormula>J24/1000</calculatedColumnFormula>
    </tableColumn>
    <tableColumn id="16" xr3:uid="{00000000-0010-0000-0000-000010000000}" name="الاتصالات والمعلومات">
      <calculatedColumnFormula>K24/1000</calculatedColumnFormula>
    </tableColumn>
    <tableColumn id="17" xr3:uid="{00000000-0010-0000-0000-000011000000}" name="قناة السويس">
      <calculatedColumnFormula>L24/1000</calculatedColumnFormula>
    </tableColumn>
    <tableColumn id="18" xr3:uid="{00000000-0010-0000-0000-000012000000}" name="تجارة الجملة والتجزئة">
      <calculatedColumnFormula>M24/1000</calculatedColumnFormula>
    </tableColumn>
    <tableColumn id="19" xr3:uid="{00000000-0010-0000-0000-000013000000}" name="الوساطة المالية والتأمين والضمان الاجتماعي">
      <calculatedColumnFormula>N24/1000</calculatedColumnFormula>
    </tableColumn>
    <tableColumn id="20" xr3:uid="{00000000-0010-0000-0000-000014000000}" name="المطاعم والفنادق">
      <calculatedColumnFormula>O24/1000</calculatedColumnFormula>
    </tableColumn>
    <tableColumn id="21" xr3:uid="{00000000-0010-0000-0000-000015000000}" name="الانشطة العقارية">
      <calculatedColumnFormula>P24/1000</calculatedColumnFormula>
    </tableColumn>
    <tableColumn id="22" xr3:uid="{00000000-0010-0000-0000-000016000000}" name="خدمات التعليم">
      <calculatedColumnFormula>Q24/1000</calculatedColumnFormula>
    </tableColumn>
    <tableColumn id="23" xr3:uid="{00000000-0010-0000-0000-000017000000}" name="الخدمات الصحية">
      <calculatedColumnFormula>R24/1000</calculatedColumnFormula>
    </tableColumn>
    <tableColumn id="24" xr3:uid="{00000000-0010-0000-0000-000018000000}" name="خدمات اخري">
      <calculatedColumnFormula>S24/1000</calculatedColumnFormula>
    </tableColumn>
    <tableColumn id="25" xr3:uid="{00000000-0010-0000-0000-000019000000}" name="إجمالي الاستثمارات العامة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4"/>
  <sheetViews>
    <sheetView tabSelected="1" zoomScale="55" zoomScaleNormal="55" zoomScalePageLayoutView="40" workbookViewId="0">
      <selection activeCell="V10" sqref="V10"/>
    </sheetView>
  </sheetViews>
  <sheetFormatPr defaultRowHeight="14.4" x14ac:dyDescent="0.55000000000000004"/>
  <cols>
    <col min="1" max="1" width="15.47265625" bestFit="1" customWidth="1"/>
    <col min="2" max="2" width="19.41796875" bestFit="1" customWidth="1"/>
    <col min="12" max="12" width="15.47265625" bestFit="1" customWidth="1"/>
    <col min="13" max="13" width="16.3671875" bestFit="1" customWidth="1"/>
    <col min="14" max="14" width="19" bestFit="1" customWidth="1"/>
    <col min="15" max="15" width="17.41796875" bestFit="1" customWidth="1"/>
    <col min="16" max="16" width="18.47265625" bestFit="1" customWidth="1"/>
    <col min="17" max="17" width="19" bestFit="1" customWidth="1"/>
    <col min="18" max="18" width="36.62890625" bestFit="1" customWidth="1"/>
    <col min="19" max="19" width="21.89453125" bestFit="1" customWidth="1"/>
    <col min="20" max="20" width="15.578125" bestFit="1" customWidth="1"/>
    <col min="21" max="21" width="22.15625" bestFit="1" customWidth="1"/>
    <col min="22" max="22" width="17.41796875" bestFit="1" customWidth="1"/>
    <col min="23" max="23" width="14.7890625" bestFit="1" customWidth="1"/>
    <col min="24" max="24" width="21.7890625" bestFit="1" customWidth="1"/>
    <col min="25" max="25" width="12.15625" bestFit="1" customWidth="1"/>
    <col min="26" max="26" width="16.5234375" bestFit="1" customWidth="1"/>
    <col min="27" max="27" width="15.578125" bestFit="1" customWidth="1"/>
    <col min="28" max="28" width="11.3671875" bestFit="1" customWidth="1"/>
    <col min="29" max="30" width="15.578125" bestFit="1" customWidth="1"/>
    <col min="31" max="31" width="19.26171875" bestFit="1" customWidth="1"/>
    <col min="32" max="32" width="18.7890625" bestFit="1" customWidth="1"/>
  </cols>
  <sheetData>
    <row r="1" spans="1:31" x14ac:dyDescent="0.55000000000000004">
      <c r="A1" s="1" t="s">
        <v>41</v>
      </c>
      <c r="B1" t="s">
        <v>43</v>
      </c>
      <c r="L1" s="1" t="s">
        <v>41</v>
      </c>
      <c r="M1" t="s">
        <v>62</v>
      </c>
      <c r="N1" t="s">
        <v>61</v>
      </c>
      <c r="O1" t="s">
        <v>60</v>
      </c>
      <c r="P1" t="s">
        <v>59</v>
      </c>
      <c r="Q1" t="s">
        <v>58</v>
      </c>
      <c r="R1" t="s">
        <v>57</v>
      </c>
      <c r="S1" t="s">
        <v>56</v>
      </c>
      <c r="T1" t="s">
        <v>55</v>
      </c>
      <c r="U1" t="s">
        <v>54</v>
      </c>
      <c r="V1" t="s">
        <v>53</v>
      </c>
      <c r="W1" t="s">
        <v>52</v>
      </c>
      <c r="X1" t="s">
        <v>51</v>
      </c>
      <c r="Y1" t="s">
        <v>50</v>
      </c>
      <c r="Z1" t="s">
        <v>49</v>
      </c>
      <c r="AA1" t="s">
        <v>48</v>
      </c>
      <c r="AB1" t="s">
        <v>44</v>
      </c>
      <c r="AC1" t="s">
        <v>45</v>
      </c>
      <c r="AD1" t="s">
        <v>46</v>
      </c>
      <c r="AE1" t="s">
        <v>47</v>
      </c>
    </row>
    <row r="2" spans="1:31" x14ac:dyDescent="0.55000000000000004">
      <c r="A2" s="2" t="s">
        <v>40</v>
      </c>
      <c r="B2" s="3">
        <v>105</v>
      </c>
      <c r="L2" s="2" t="s">
        <v>40</v>
      </c>
      <c r="M2" s="3">
        <v>8.4567000000000014</v>
      </c>
      <c r="N2" s="3">
        <v>3.6601999999999997</v>
      </c>
      <c r="O2" s="3">
        <v>4.6070000000000002</v>
      </c>
      <c r="P2" s="3">
        <v>1.8699000000000001</v>
      </c>
      <c r="Q2" s="3">
        <v>0.34549999999999997</v>
      </c>
      <c r="R2" s="3">
        <v>0.89989999999999992</v>
      </c>
      <c r="S2" s="3">
        <v>0.23699999999999999</v>
      </c>
      <c r="T2" s="3">
        <v>0.5645</v>
      </c>
      <c r="U2" s="3">
        <v>2.1951000000000001</v>
      </c>
      <c r="V2" s="3">
        <v>16.764200000000002</v>
      </c>
      <c r="W2" s="3">
        <v>1.0630999999999999</v>
      </c>
      <c r="X2" s="3">
        <v>17.504099999999998</v>
      </c>
      <c r="Y2" s="3">
        <v>15.8626</v>
      </c>
      <c r="Z2" s="3">
        <v>6.9213000000000005</v>
      </c>
      <c r="AA2" s="3">
        <v>0.31539999999999996</v>
      </c>
      <c r="AB2" s="3">
        <v>2.8780999999999999</v>
      </c>
      <c r="AC2" s="3">
        <v>17.352</v>
      </c>
      <c r="AD2" s="3">
        <v>3.5836999999999999</v>
      </c>
      <c r="AE2" s="3">
        <v>8.6E-3</v>
      </c>
    </row>
    <row r="3" spans="1:31" x14ac:dyDescent="0.55000000000000004">
      <c r="A3" s="2" t="s">
        <v>39</v>
      </c>
      <c r="B3" s="3">
        <v>87</v>
      </c>
      <c r="L3" s="2" t="s">
        <v>39</v>
      </c>
      <c r="M3" s="3">
        <v>9.4527000000000001</v>
      </c>
      <c r="N3" s="3">
        <v>3.2073</v>
      </c>
      <c r="O3" s="3">
        <v>4.6271000000000004</v>
      </c>
      <c r="P3" s="3">
        <v>1.7439</v>
      </c>
      <c r="Q3" s="3">
        <v>0.37330000000000002</v>
      </c>
      <c r="R3" s="3">
        <v>0.87490000000000001</v>
      </c>
      <c r="S3" s="3">
        <v>0.2404</v>
      </c>
      <c r="T3" s="3">
        <v>0.47539999999999999</v>
      </c>
      <c r="U3" s="3">
        <v>1.6484000000000001</v>
      </c>
      <c r="V3" s="3">
        <v>15.830299999999999</v>
      </c>
      <c r="W3" s="3">
        <v>0.96250000000000002</v>
      </c>
      <c r="X3" s="3">
        <v>10.930899999999999</v>
      </c>
      <c r="Y3" s="3">
        <v>16.880099999999999</v>
      </c>
      <c r="Z3" s="3">
        <v>4.6071999999999997</v>
      </c>
      <c r="AA3" s="3">
        <v>0.27829999999999999</v>
      </c>
      <c r="AB3" s="3">
        <v>3.2756999999999996</v>
      </c>
      <c r="AC3" s="3">
        <v>2.7454999999999998</v>
      </c>
      <c r="AD3" s="3">
        <v>9.2349999999999994</v>
      </c>
      <c r="AE3" s="3">
        <v>1.4E-3</v>
      </c>
    </row>
    <row r="4" spans="1:31" x14ac:dyDescent="0.55000000000000004">
      <c r="A4" s="2" t="s">
        <v>38</v>
      </c>
      <c r="B4" s="3">
        <v>92</v>
      </c>
      <c r="L4" s="2" t="s">
        <v>38</v>
      </c>
      <c r="M4" s="3">
        <v>7.8239999999999998</v>
      </c>
      <c r="N4" s="3">
        <v>2.8968000000000003</v>
      </c>
      <c r="O4" s="3">
        <v>4.5126999999999997</v>
      </c>
      <c r="P4" s="3">
        <v>1.1448</v>
      </c>
      <c r="Q4" s="3">
        <v>0.57099999999999995</v>
      </c>
      <c r="R4" s="3">
        <v>1.5085</v>
      </c>
      <c r="S4" s="3">
        <v>0.2697</v>
      </c>
      <c r="T4" s="3">
        <v>0.29049999999999998</v>
      </c>
      <c r="U4" s="3">
        <v>1.0236000000000001</v>
      </c>
      <c r="V4" s="3">
        <v>17.860400000000002</v>
      </c>
      <c r="W4" s="3">
        <v>0.80979999999999996</v>
      </c>
      <c r="X4" s="3">
        <v>10.392299999999999</v>
      </c>
      <c r="Y4" s="3">
        <v>18.401</v>
      </c>
      <c r="Z4" s="3">
        <v>2.7515999999999998</v>
      </c>
      <c r="AA4" s="3">
        <v>0.2969</v>
      </c>
      <c r="AB4" s="3">
        <v>2.6726999999999999</v>
      </c>
      <c r="AC4" s="3">
        <v>4.5366999999999997</v>
      </c>
      <c r="AD4" s="3">
        <v>14.779200000000001</v>
      </c>
      <c r="AE4" s="3">
        <v>3.5000000000000001E-3</v>
      </c>
    </row>
    <row r="5" spans="1:31" x14ac:dyDescent="0.55000000000000004">
      <c r="A5" s="2" t="s">
        <v>37</v>
      </c>
      <c r="B5" s="3">
        <v>95</v>
      </c>
      <c r="L5" s="2" t="s">
        <v>37</v>
      </c>
      <c r="M5" s="3">
        <v>9.7255000000000003</v>
      </c>
      <c r="N5" s="3">
        <v>2.7403000000000004</v>
      </c>
      <c r="O5" s="3">
        <v>4.8891</v>
      </c>
      <c r="P5" s="3">
        <v>0.62739999999999996</v>
      </c>
      <c r="Q5" s="3">
        <v>0.33139999999999997</v>
      </c>
      <c r="R5" s="3">
        <v>1.0604</v>
      </c>
      <c r="S5" s="3">
        <v>0.49469999999999997</v>
      </c>
      <c r="T5" s="3">
        <v>0.35270000000000001</v>
      </c>
      <c r="U5" s="3">
        <v>0.93189999999999995</v>
      </c>
      <c r="V5" s="3">
        <v>14.443100000000001</v>
      </c>
      <c r="W5" s="3">
        <v>0.86699999999999999</v>
      </c>
      <c r="X5" s="3">
        <v>10.1052</v>
      </c>
      <c r="Y5" s="3">
        <v>15.662799999999999</v>
      </c>
      <c r="Z5" s="3">
        <v>3.4146000000000001</v>
      </c>
      <c r="AA5" s="3">
        <v>0.6079</v>
      </c>
      <c r="AB5" s="3">
        <v>2.9504000000000001</v>
      </c>
      <c r="AC5" s="3">
        <v>23.072800000000001</v>
      </c>
      <c r="AD5" s="3">
        <v>3.6228000000000002</v>
      </c>
      <c r="AE5" s="3">
        <v>0</v>
      </c>
    </row>
    <row r="6" spans="1:31" x14ac:dyDescent="0.55000000000000004">
      <c r="A6" s="2" t="s">
        <v>36</v>
      </c>
      <c r="B6" s="3">
        <v>110</v>
      </c>
      <c r="L6" s="2" t="s">
        <v>36</v>
      </c>
      <c r="M6" s="3">
        <v>13.1532</v>
      </c>
      <c r="N6" s="3">
        <v>3.6877</v>
      </c>
      <c r="O6" s="3">
        <v>6.5505000000000004</v>
      </c>
      <c r="P6" s="3">
        <v>6.1011999999999995</v>
      </c>
      <c r="Q6" s="3">
        <v>1.3380999999999998</v>
      </c>
      <c r="R6" s="3">
        <v>0.97260000000000002</v>
      </c>
      <c r="S6" s="3">
        <v>0.63879999999999992</v>
      </c>
      <c r="T6" s="3">
        <v>0.43489999999999995</v>
      </c>
      <c r="U6" s="3">
        <v>0.74760000000000004</v>
      </c>
      <c r="V6" s="3">
        <v>16.258399999999998</v>
      </c>
      <c r="W6" s="3">
        <v>0.81100000000000005</v>
      </c>
      <c r="X6" s="3">
        <v>12.0876</v>
      </c>
      <c r="Y6" s="3">
        <v>12.139899999999999</v>
      </c>
      <c r="Z6" s="3">
        <v>5.2051999999999996</v>
      </c>
      <c r="AA6" s="3">
        <v>0.9052</v>
      </c>
      <c r="AB6" s="3">
        <v>4.1461000000000006</v>
      </c>
      <c r="AC6" s="3">
        <v>21.686199999999999</v>
      </c>
      <c r="AD6" s="3">
        <v>3.6093999999999999</v>
      </c>
      <c r="AE6" s="3">
        <v>0</v>
      </c>
    </row>
    <row r="7" spans="1:31" x14ac:dyDescent="0.55000000000000004">
      <c r="A7" s="2" t="s">
        <v>35</v>
      </c>
      <c r="B7" s="3">
        <v>147</v>
      </c>
      <c r="L7" s="2" t="s">
        <v>35</v>
      </c>
      <c r="M7" s="3">
        <v>12.872399999999999</v>
      </c>
      <c r="N7" s="3">
        <v>3.4</v>
      </c>
      <c r="O7" s="3">
        <v>8.2187999999999999</v>
      </c>
      <c r="P7" s="3">
        <v>7.39</v>
      </c>
      <c r="Q7" s="3">
        <v>0.31730000000000003</v>
      </c>
      <c r="R7" s="3">
        <v>0.75990000000000002</v>
      </c>
      <c r="S7" s="3">
        <v>0.28100000000000003</v>
      </c>
      <c r="T7" s="3">
        <v>27.468</v>
      </c>
      <c r="U7" s="3">
        <v>0.90149999999999997</v>
      </c>
      <c r="V7" s="3">
        <v>20.846799999999998</v>
      </c>
      <c r="W7" s="3">
        <v>1.1112</v>
      </c>
      <c r="X7" s="3">
        <v>13.526200000000001</v>
      </c>
      <c r="Y7" s="3">
        <v>13.279</v>
      </c>
      <c r="Z7" s="3">
        <v>6.2831000000000001</v>
      </c>
      <c r="AA7" s="3">
        <v>0.64890000000000003</v>
      </c>
      <c r="AB7" s="3">
        <v>5.2130000000000001</v>
      </c>
      <c r="AC7" s="3">
        <v>21.087199999999999</v>
      </c>
      <c r="AD7" s="3">
        <v>4.1890000000000001</v>
      </c>
      <c r="AE7" s="3">
        <v>0</v>
      </c>
    </row>
    <row r="8" spans="1:31" x14ac:dyDescent="0.55000000000000004">
      <c r="A8" s="2" t="s">
        <v>34</v>
      </c>
      <c r="B8" s="3">
        <v>181</v>
      </c>
      <c r="L8" s="2" t="s">
        <v>34</v>
      </c>
      <c r="M8" s="3">
        <v>19.114699999999999</v>
      </c>
      <c r="N8" s="3">
        <v>3.4546999999999999</v>
      </c>
      <c r="O8" s="3">
        <v>6.4188999999999998</v>
      </c>
      <c r="P8" s="3">
        <v>7.8819999999999997</v>
      </c>
      <c r="Q8" s="3">
        <v>0.18630000000000002</v>
      </c>
      <c r="R8" s="3">
        <v>0.14460000000000001</v>
      </c>
      <c r="S8" s="3">
        <v>0.4073</v>
      </c>
      <c r="T8" s="3">
        <v>31.447800000000001</v>
      </c>
      <c r="U8" s="3">
        <v>0.94359999999999999</v>
      </c>
      <c r="V8" s="3">
        <v>26.1754</v>
      </c>
      <c r="W8" s="3">
        <v>4.63</v>
      </c>
      <c r="X8" s="3">
        <v>16.5383</v>
      </c>
      <c r="Y8" s="3">
        <v>17.0549</v>
      </c>
      <c r="Z8" s="3">
        <v>6.0831</v>
      </c>
      <c r="AA8" s="3">
        <v>0.72429999999999994</v>
      </c>
      <c r="AB8" s="3">
        <v>5.0392000000000001</v>
      </c>
      <c r="AC8" s="3">
        <v>29.613700000000001</v>
      </c>
      <c r="AD8" s="3">
        <v>5.5632000000000001</v>
      </c>
      <c r="AE8" s="3">
        <v>0</v>
      </c>
    </row>
    <row r="9" spans="1:31" x14ac:dyDescent="0.55000000000000004">
      <c r="A9" s="2" t="s">
        <v>33</v>
      </c>
      <c r="B9" s="3">
        <v>300</v>
      </c>
      <c r="L9" s="2" t="s">
        <v>33</v>
      </c>
      <c r="M9" s="3">
        <v>21.251900000000003</v>
      </c>
      <c r="N9" s="3">
        <v>8.8367999999999984</v>
      </c>
      <c r="O9" s="3">
        <v>12.7028</v>
      </c>
      <c r="P9" s="3">
        <v>24.495000000000001</v>
      </c>
      <c r="Q9" s="3">
        <v>0.3231</v>
      </c>
      <c r="R9" s="3">
        <v>9.7799999999999998E-2</v>
      </c>
      <c r="S9" s="3">
        <v>0.74850000000000005</v>
      </c>
      <c r="T9" s="3">
        <v>14.028799999999999</v>
      </c>
      <c r="U9" s="3">
        <v>2.2216</v>
      </c>
      <c r="V9" s="3">
        <v>30.497599999999998</v>
      </c>
      <c r="W9" s="3">
        <v>1.4742999999999999</v>
      </c>
      <c r="X9" s="3">
        <v>18.7652</v>
      </c>
      <c r="Y9" s="3">
        <v>124.5407</v>
      </c>
      <c r="Z9" s="3">
        <v>2.8620999999999999</v>
      </c>
      <c r="AA9" s="3">
        <v>0.86950000000000005</v>
      </c>
      <c r="AB9" s="3">
        <v>6.0386000000000006</v>
      </c>
      <c r="AC9" s="3">
        <v>6.8529999999999998</v>
      </c>
      <c r="AD9" s="3">
        <v>24.224499999999999</v>
      </c>
      <c r="AE9" s="3">
        <v>1.49E-2</v>
      </c>
    </row>
    <row r="10" spans="1:31" x14ac:dyDescent="0.55000000000000004">
      <c r="A10" s="2" t="s">
        <v>32</v>
      </c>
      <c r="B10" s="3">
        <v>470</v>
      </c>
      <c r="L10" s="2" t="s">
        <v>32</v>
      </c>
      <c r="M10" s="3">
        <v>37.19435</v>
      </c>
      <c r="N10" s="3">
        <v>7.5150800000000002</v>
      </c>
      <c r="O10" s="3">
        <v>17.22794</v>
      </c>
      <c r="P10" s="3">
        <v>22.5472</v>
      </c>
      <c r="Q10" s="3">
        <v>0.69259999999999999</v>
      </c>
      <c r="R10" s="3">
        <v>4.6299999999999994E-2</v>
      </c>
      <c r="S10" s="3">
        <v>2.09673</v>
      </c>
      <c r="T10" s="3">
        <v>19.162779999999998</v>
      </c>
      <c r="U10" s="3">
        <v>3.6602899999999998</v>
      </c>
      <c r="V10" s="3">
        <v>73.756270000000001</v>
      </c>
      <c r="W10" s="3">
        <v>33.599499999999999</v>
      </c>
      <c r="X10" s="3">
        <v>16.170750000000002</v>
      </c>
      <c r="Y10" s="3">
        <v>96.547309999999996</v>
      </c>
      <c r="Z10" s="3">
        <v>45.610750000000003</v>
      </c>
      <c r="AA10" s="3">
        <v>1.8672</v>
      </c>
      <c r="AB10" s="3">
        <v>32.385899999999999</v>
      </c>
      <c r="AC10" s="3">
        <v>17.524470000000001</v>
      </c>
      <c r="AD10" s="3">
        <v>42.868499999999997</v>
      </c>
      <c r="AE10" s="3">
        <v>0</v>
      </c>
    </row>
    <row r="11" spans="1:31" x14ac:dyDescent="0.55000000000000004">
      <c r="A11" s="2" t="s">
        <v>31</v>
      </c>
      <c r="B11" s="3">
        <v>513</v>
      </c>
      <c r="L11" s="2" t="s">
        <v>31</v>
      </c>
      <c r="M11" s="3">
        <v>56.466000000000001</v>
      </c>
      <c r="N11" s="3">
        <v>12.064</v>
      </c>
      <c r="O11" s="3">
        <v>21.244400000000002</v>
      </c>
      <c r="P11" s="3">
        <v>21.153700000000001</v>
      </c>
      <c r="Q11" s="3">
        <v>1.0797999999999999</v>
      </c>
      <c r="R11" s="3">
        <v>0.54630000000000001</v>
      </c>
      <c r="S11" s="3">
        <v>6.5356000000000005</v>
      </c>
      <c r="T11" s="3">
        <v>18.404599999999999</v>
      </c>
      <c r="U11" s="3">
        <v>5.5851999999999995</v>
      </c>
      <c r="V11" s="3">
        <v>74.751300000000001</v>
      </c>
      <c r="W11" s="3">
        <v>32.4846</v>
      </c>
      <c r="X11" s="3">
        <v>21.923200000000001</v>
      </c>
      <c r="Y11" s="3">
        <v>73.084699999999998</v>
      </c>
      <c r="Z11" s="3">
        <v>49.829800000000006</v>
      </c>
      <c r="AA11" s="3">
        <v>3.7275999999999998</v>
      </c>
      <c r="AB11" s="3">
        <v>31.4253</v>
      </c>
      <c r="AC11" s="3">
        <v>66.540000000000006</v>
      </c>
      <c r="AD11" s="3">
        <v>16.817900000000002</v>
      </c>
      <c r="AE11" s="3">
        <v>0</v>
      </c>
    </row>
    <row r="12" spans="1:31" x14ac:dyDescent="0.55000000000000004">
      <c r="A12" s="2" t="s">
        <v>30</v>
      </c>
      <c r="B12" s="3">
        <v>491</v>
      </c>
      <c r="L12" s="2" t="s">
        <v>30</v>
      </c>
      <c r="M12" s="3">
        <v>75.896500000000003</v>
      </c>
      <c r="N12" s="3">
        <v>17.6281</v>
      </c>
      <c r="O12" s="3">
        <v>32.405900000000003</v>
      </c>
      <c r="P12" s="3">
        <v>23.517299999999999</v>
      </c>
      <c r="Q12" s="3">
        <v>0.31880000000000003</v>
      </c>
      <c r="R12" s="3">
        <v>0.98760000000000003</v>
      </c>
      <c r="S12" s="3">
        <v>0.80159999999999998</v>
      </c>
      <c r="T12" s="3">
        <v>10.333399999999999</v>
      </c>
      <c r="U12" s="3">
        <v>6.7450000000000001</v>
      </c>
      <c r="V12" s="3">
        <v>88.412899999999993</v>
      </c>
      <c r="W12" s="3">
        <v>29.649099999999997</v>
      </c>
      <c r="X12" s="3">
        <v>36.013500000000001</v>
      </c>
      <c r="Y12" s="3">
        <v>48.903400000000005</v>
      </c>
      <c r="Z12" s="3">
        <v>46.273400000000002</v>
      </c>
      <c r="AA12" s="3">
        <v>2.5606</v>
      </c>
      <c r="AB12" s="3">
        <v>28.732200000000002</v>
      </c>
      <c r="AC12" s="3">
        <v>34.799599999999998</v>
      </c>
      <c r="AD12" s="3">
        <v>7.3323999999999998</v>
      </c>
      <c r="AE12" s="3">
        <v>0</v>
      </c>
    </row>
    <row r="13" spans="1:31" x14ac:dyDescent="0.55000000000000004">
      <c r="A13" s="2" t="s">
        <v>29</v>
      </c>
      <c r="B13" s="3">
        <v>560</v>
      </c>
      <c r="L13" s="2" t="s">
        <v>29</v>
      </c>
      <c r="M13" s="3">
        <v>82.422300000000007</v>
      </c>
      <c r="N13" s="3">
        <v>22.907599999999999</v>
      </c>
      <c r="O13" s="3">
        <v>32.314700000000002</v>
      </c>
      <c r="P13" s="3">
        <v>13.790100000000001</v>
      </c>
      <c r="Q13" s="3">
        <v>0.40799999999999997</v>
      </c>
      <c r="R13" s="3">
        <v>6.9599999999999995E-2</v>
      </c>
      <c r="S13" s="3">
        <v>0.54179999999999995</v>
      </c>
      <c r="T13" s="3">
        <v>15.2369</v>
      </c>
      <c r="U13" s="3">
        <v>19.273499999999999</v>
      </c>
      <c r="V13" s="3">
        <v>105.8271</v>
      </c>
      <c r="W13" s="3">
        <v>33.294400000000003</v>
      </c>
      <c r="X13" s="3">
        <v>48.866500000000002</v>
      </c>
      <c r="Y13" s="3">
        <v>37.787099999999995</v>
      </c>
      <c r="Z13" s="3">
        <v>38.249199999999995</v>
      </c>
      <c r="AA13" s="3">
        <v>11.409000000000001</v>
      </c>
      <c r="AB13" s="3">
        <v>38.4375</v>
      </c>
      <c r="AC13" s="3">
        <v>40.8245</v>
      </c>
      <c r="AD13" s="3">
        <v>8.5239999999999991</v>
      </c>
      <c r="AE13" s="3">
        <v>2.23E-2</v>
      </c>
    </row>
    <row r="14" spans="1:31" x14ac:dyDescent="0.55000000000000004">
      <c r="A14" s="2" t="s">
        <v>42</v>
      </c>
      <c r="B14" s="3">
        <v>3151</v>
      </c>
      <c r="L14" s="2" t="s">
        <v>63</v>
      </c>
      <c r="M14" s="3">
        <v>353.83025000000004</v>
      </c>
      <c r="N14" s="3">
        <v>91.99857999999999</v>
      </c>
      <c r="O14" s="3">
        <v>155.71984</v>
      </c>
      <c r="P14" s="3">
        <v>132.26249999999999</v>
      </c>
      <c r="Q14" s="3">
        <v>6.2852000000000006</v>
      </c>
      <c r="R14" s="3">
        <v>7.9683999999999999</v>
      </c>
      <c r="S14" s="3">
        <v>13.293130000000001</v>
      </c>
      <c r="T14" s="3">
        <v>138.20027999999999</v>
      </c>
      <c r="U14" s="3">
        <v>45.877290000000002</v>
      </c>
      <c r="V14" s="3">
        <v>501.42376999999999</v>
      </c>
      <c r="W14" s="3">
        <v>140.75649999999999</v>
      </c>
      <c r="X14" s="3">
        <v>232.82374999999999</v>
      </c>
      <c r="Y14" s="3">
        <v>490.14350999999999</v>
      </c>
      <c r="Z14" s="3">
        <v>218.09135000000003</v>
      </c>
      <c r="AA14" s="3">
        <v>24.210799999999999</v>
      </c>
      <c r="AB14" s="3">
        <v>163.19470000000001</v>
      </c>
      <c r="AC14" s="3">
        <v>286.63567</v>
      </c>
      <c r="AD14" s="3">
        <v>144.34960000000001</v>
      </c>
      <c r="AE14" s="3">
        <v>5.0700000000000002E-2</v>
      </c>
    </row>
  </sheetData>
  <pageMargins left="0.7" right="0.7" top="0.75" bottom="0.75" header="0.3" footer="0.3"/>
  <pageSetup orientation="portrait" verticalDpi="0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35"/>
  <sheetViews>
    <sheetView zoomScale="70" zoomScaleNormal="70" workbookViewId="0">
      <selection activeCell="E19" sqref="E19"/>
    </sheetView>
  </sheetViews>
  <sheetFormatPr defaultRowHeight="14.4" x14ac:dyDescent="0.55000000000000004"/>
  <cols>
    <col min="1" max="1" width="28.5234375" customWidth="1"/>
    <col min="2" max="2" width="23.15625" bestFit="1" customWidth="1"/>
    <col min="3" max="3" width="11" customWidth="1"/>
    <col min="4" max="4" width="5.578125" customWidth="1"/>
    <col min="5" max="5" width="9.41796875" bestFit="1" customWidth="1"/>
    <col min="6" max="6" width="7.68359375" bestFit="1" customWidth="1"/>
    <col min="7" max="7" width="10.83984375" customWidth="1"/>
    <col min="8" max="8" width="10.68359375" customWidth="1"/>
    <col min="9" max="9" width="14.20703125" customWidth="1"/>
    <col min="10" max="10" width="10.578125" customWidth="1"/>
    <col min="11" max="11" width="11.41796875" customWidth="1"/>
    <col min="12" max="12" width="8.68359375" bestFit="1" customWidth="1"/>
    <col min="13" max="13" width="16.47265625" customWidth="1"/>
    <col min="14" max="14" width="9.7890625" customWidth="1"/>
    <col min="15" max="15" width="12.05078125" customWidth="1"/>
    <col min="16" max="16" width="16.89453125" customWidth="1"/>
    <col min="17" max="17" width="10.68359375" customWidth="1"/>
    <col min="18" max="18" width="16.5234375" customWidth="1"/>
    <col min="19" max="19" width="30.3671875" customWidth="1"/>
    <col min="20" max="20" width="13.83984375" customWidth="1"/>
    <col min="21" max="21" width="13" customWidth="1"/>
    <col min="22" max="22" width="12.41796875" customWidth="1"/>
    <col min="23" max="23" width="13.89453125" customWidth="1"/>
    <col min="24" max="24" width="11.5234375" customWidth="1"/>
    <col min="25" max="25" width="18.9453125" customWidth="1"/>
  </cols>
  <sheetData>
    <row r="1" spans="1:25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55000000000000004">
      <c r="A2" t="s">
        <v>25</v>
      </c>
      <c r="B2" t="s">
        <v>26</v>
      </c>
      <c r="C2" t="s">
        <v>27</v>
      </c>
      <c r="D2" t="s">
        <v>28</v>
      </c>
      <c r="E2" t="s">
        <v>29</v>
      </c>
      <c r="F2">
        <f>A24/1000</f>
        <v>38.4375</v>
      </c>
      <c r="G2">
        <f t="shared" ref="G2:X2" si="0">B24/1000</f>
        <v>40.8245</v>
      </c>
      <c r="H2">
        <f t="shared" si="0"/>
        <v>8.5239999999999991</v>
      </c>
      <c r="I2">
        <f t="shared" si="0"/>
        <v>2.23E-2</v>
      </c>
      <c r="J2">
        <f t="shared" si="0"/>
        <v>11.409000000000001</v>
      </c>
      <c r="K2">
        <f t="shared" si="0"/>
        <v>38.249199999999995</v>
      </c>
      <c r="L2">
        <f t="shared" si="0"/>
        <v>37.787099999999995</v>
      </c>
      <c r="M2">
        <f t="shared" si="0"/>
        <v>48.866500000000002</v>
      </c>
      <c r="N2">
        <f t="shared" si="0"/>
        <v>33.294400000000003</v>
      </c>
      <c r="O2">
        <f t="shared" si="0"/>
        <v>105.8271</v>
      </c>
      <c r="P2">
        <f t="shared" si="0"/>
        <v>19.273499999999999</v>
      </c>
      <c r="Q2">
        <f t="shared" si="0"/>
        <v>15.2369</v>
      </c>
      <c r="R2">
        <f t="shared" si="0"/>
        <v>0.54179999999999995</v>
      </c>
      <c r="S2">
        <f t="shared" si="0"/>
        <v>6.9599999999999995E-2</v>
      </c>
      <c r="T2">
        <f t="shared" si="0"/>
        <v>0.40799999999999997</v>
      </c>
      <c r="U2">
        <f t="shared" si="0"/>
        <v>13.790100000000001</v>
      </c>
      <c r="V2">
        <f t="shared" si="0"/>
        <v>32.314700000000002</v>
      </c>
      <c r="W2">
        <f t="shared" si="0"/>
        <v>22.907599999999999</v>
      </c>
      <c r="X2">
        <f t="shared" si="0"/>
        <v>82.422300000000007</v>
      </c>
      <c r="Y2" s="4">
        <v>560</v>
      </c>
    </row>
    <row r="3" spans="1:25" x14ac:dyDescent="0.55000000000000004">
      <c r="A3" t="s">
        <v>25</v>
      </c>
      <c r="B3" t="s">
        <v>26</v>
      </c>
      <c r="C3" t="s">
        <v>27</v>
      </c>
      <c r="D3" t="s">
        <v>28</v>
      </c>
      <c r="E3" t="s">
        <v>30</v>
      </c>
      <c r="F3">
        <f t="shared" ref="F3:F13" si="1">A25/1000</f>
        <v>28.732200000000002</v>
      </c>
      <c r="G3">
        <f t="shared" ref="G3:G13" si="2">B25/1000</f>
        <v>34.799599999999998</v>
      </c>
      <c r="H3">
        <f t="shared" ref="H3:H13" si="3">C25/1000</f>
        <v>7.3323999999999998</v>
      </c>
      <c r="I3">
        <f t="shared" ref="I3:I13" si="4">D25/1000</f>
        <v>0</v>
      </c>
      <c r="J3">
        <f t="shared" ref="J3:J13" si="5">E25/1000</f>
        <v>2.5606</v>
      </c>
      <c r="K3">
        <f t="shared" ref="K3:K13" si="6">F25/1000</f>
        <v>46.273400000000002</v>
      </c>
      <c r="L3">
        <f t="shared" ref="L3:L13" si="7">G25/1000</f>
        <v>48.903400000000005</v>
      </c>
      <c r="M3">
        <f t="shared" ref="M3:M13" si="8">H25/1000</f>
        <v>36.013500000000001</v>
      </c>
      <c r="N3">
        <f t="shared" ref="N3:N13" si="9">I25/1000</f>
        <v>29.649099999999997</v>
      </c>
      <c r="O3">
        <f t="shared" ref="O3:O13" si="10">J25/1000</f>
        <v>88.412899999999993</v>
      </c>
      <c r="P3">
        <f t="shared" ref="P3:P13" si="11">K25/1000</f>
        <v>6.7450000000000001</v>
      </c>
      <c r="Q3">
        <f t="shared" ref="Q3:Q13" si="12">L25/1000</f>
        <v>10.333399999999999</v>
      </c>
      <c r="R3">
        <f t="shared" ref="R3:R13" si="13">M25/1000</f>
        <v>0.80159999999999998</v>
      </c>
      <c r="S3">
        <f t="shared" ref="S3:S13" si="14">N25/1000</f>
        <v>0.98760000000000003</v>
      </c>
      <c r="T3">
        <f t="shared" ref="T3:T13" si="15">O25/1000</f>
        <v>0.31880000000000003</v>
      </c>
      <c r="U3">
        <f t="shared" ref="U3:U13" si="16">P25/1000</f>
        <v>23.517299999999999</v>
      </c>
      <c r="V3">
        <f t="shared" ref="V3:V13" si="17">Q25/1000</f>
        <v>32.405900000000003</v>
      </c>
      <c r="W3">
        <f t="shared" ref="W3:W13" si="18">R25/1000</f>
        <v>17.6281</v>
      </c>
      <c r="X3">
        <f t="shared" ref="X3:X13" si="19">S25/1000</f>
        <v>75.896500000000003</v>
      </c>
      <c r="Y3" s="4">
        <v>491</v>
      </c>
    </row>
    <row r="4" spans="1:25" x14ac:dyDescent="0.55000000000000004">
      <c r="A4" t="s">
        <v>25</v>
      </c>
      <c r="B4" t="s">
        <v>26</v>
      </c>
      <c r="C4" t="s">
        <v>27</v>
      </c>
      <c r="D4" t="s">
        <v>28</v>
      </c>
      <c r="E4" t="s">
        <v>31</v>
      </c>
      <c r="F4">
        <f t="shared" si="1"/>
        <v>31.4253</v>
      </c>
      <c r="G4">
        <f t="shared" si="2"/>
        <v>66.540000000000006</v>
      </c>
      <c r="H4">
        <f t="shared" si="3"/>
        <v>16.817900000000002</v>
      </c>
      <c r="I4">
        <f t="shared" si="4"/>
        <v>0</v>
      </c>
      <c r="J4">
        <f t="shared" si="5"/>
        <v>3.7275999999999998</v>
      </c>
      <c r="K4">
        <f t="shared" si="6"/>
        <v>49.829800000000006</v>
      </c>
      <c r="L4">
        <f t="shared" si="7"/>
        <v>73.084699999999998</v>
      </c>
      <c r="M4">
        <f t="shared" si="8"/>
        <v>21.923200000000001</v>
      </c>
      <c r="N4">
        <f t="shared" si="9"/>
        <v>32.4846</v>
      </c>
      <c r="O4">
        <f t="shared" si="10"/>
        <v>74.751300000000001</v>
      </c>
      <c r="P4">
        <f t="shared" si="11"/>
        <v>5.5851999999999995</v>
      </c>
      <c r="Q4">
        <f t="shared" si="12"/>
        <v>18.404599999999999</v>
      </c>
      <c r="R4">
        <f t="shared" si="13"/>
        <v>6.5356000000000005</v>
      </c>
      <c r="S4">
        <f t="shared" si="14"/>
        <v>0.54630000000000001</v>
      </c>
      <c r="T4">
        <f t="shared" si="15"/>
        <v>1.0797999999999999</v>
      </c>
      <c r="U4">
        <f t="shared" si="16"/>
        <v>21.153700000000001</v>
      </c>
      <c r="V4">
        <f t="shared" si="17"/>
        <v>21.244400000000002</v>
      </c>
      <c r="W4">
        <f t="shared" si="18"/>
        <v>12.064</v>
      </c>
      <c r="X4">
        <f t="shared" si="19"/>
        <v>56.466000000000001</v>
      </c>
      <c r="Y4" s="4">
        <v>513</v>
      </c>
    </row>
    <row r="5" spans="1:25" x14ac:dyDescent="0.55000000000000004">
      <c r="A5" t="s">
        <v>25</v>
      </c>
      <c r="B5" t="s">
        <v>26</v>
      </c>
      <c r="C5" t="s">
        <v>27</v>
      </c>
      <c r="D5" t="s">
        <v>28</v>
      </c>
      <c r="E5" t="s">
        <v>32</v>
      </c>
      <c r="F5">
        <f t="shared" si="1"/>
        <v>32.385899999999999</v>
      </c>
      <c r="G5">
        <f t="shared" si="2"/>
        <v>17.524470000000001</v>
      </c>
      <c r="H5">
        <f t="shared" si="3"/>
        <v>42.868499999999997</v>
      </c>
      <c r="I5">
        <f t="shared" si="4"/>
        <v>0</v>
      </c>
      <c r="J5">
        <f t="shared" si="5"/>
        <v>1.8672</v>
      </c>
      <c r="K5">
        <f t="shared" si="6"/>
        <v>45.610750000000003</v>
      </c>
      <c r="L5">
        <f t="shared" si="7"/>
        <v>96.547309999999996</v>
      </c>
      <c r="M5">
        <f t="shared" si="8"/>
        <v>16.170750000000002</v>
      </c>
      <c r="N5">
        <f t="shared" si="9"/>
        <v>33.599499999999999</v>
      </c>
      <c r="O5">
        <f t="shared" si="10"/>
        <v>73.756270000000001</v>
      </c>
      <c r="P5">
        <f t="shared" si="11"/>
        <v>3.6602899999999998</v>
      </c>
      <c r="Q5">
        <f t="shared" si="12"/>
        <v>19.162779999999998</v>
      </c>
      <c r="R5">
        <f t="shared" si="13"/>
        <v>2.09673</v>
      </c>
      <c r="S5">
        <f t="shared" si="14"/>
        <v>4.6299999999999994E-2</v>
      </c>
      <c r="T5">
        <f t="shared" si="15"/>
        <v>0.69259999999999999</v>
      </c>
      <c r="U5">
        <f t="shared" si="16"/>
        <v>22.5472</v>
      </c>
      <c r="V5">
        <f t="shared" si="17"/>
        <v>17.22794</v>
      </c>
      <c r="W5">
        <f t="shared" si="18"/>
        <v>7.5150800000000002</v>
      </c>
      <c r="X5">
        <f t="shared" si="19"/>
        <v>37.19435</v>
      </c>
      <c r="Y5" s="4">
        <v>470</v>
      </c>
    </row>
    <row r="6" spans="1:25" x14ac:dyDescent="0.55000000000000004">
      <c r="A6" t="s">
        <v>25</v>
      </c>
      <c r="B6" t="s">
        <v>26</v>
      </c>
      <c r="C6" t="s">
        <v>27</v>
      </c>
      <c r="D6" t="s">
        <v>28</v>
      </c>
      <c r="E6" t="s">
        <v>33</v>
      </c>
      <c r="F6">
        <f t="shared" si="1"/>
        <v>6.0386000000000006</v>
      </c>
      <c r="G6">
        <f t="shared" si="2"/>
        <v>6.8529999999999998</v>
      </c>
      <c r="H6">
        <f t="shared" si="3"/>
        <v>24.224499999999999</v>
      </c>
      <c r="I6">
        <f t="shared" si="4"/>
        <v>1.49E-2</v>
      </c>
      <c r="J6">
        <f t="shared" si="5"/>
        <v>0.86950000000000005</v>
      </c>
      <c r="K6">
        <f t="shared" si="6"/>
        <v>2.8620999999999999</v>
      </c>
      <c r="L6">
        <f t="shared" si="7"/>
        <v>124.5407</v>
      </c>
      <c r="M6">
        <f t="shared" si="8"/>
        <v>18.7652</v>
      </c>
      <c r="N6">
        <f t="shared" si="9"/>
        <v>1.4742999999999999</v>
      </c>
      <c r="O6">
        <f t="shared" si="10"/>
        <v>30.497599999999998</v>
      </c>
      <c r="P6">
        <f t="shared" si="11"/>
        <v>2.2216</v>
      </c>
      <c r="Q6">
        <f t="shared" si="12"/>
        <v>14.028799999999999</v>
      </c>
      <c r="R6">
        <f t="shared" si="13"/>
        <v>0.74850000000000005</v>
      </c>
      <c r="S6">
        <f t="shared" si="14"/>
        <v>9.7799999999999998E-2</v>
      </c>
      <c r="T6">
        <f t="shared" si="15"/>
        <v>0.3231</v>
      </c>
      <c r="U6">
        <f t="shared" si="16"/>
        <v>24.495000000000001</v>
      </c>
      <c r="V6">
        <f t="shared" si="17"/>
        <v>12.7028</v>
      </c>
      <c r="W6">
        <f t="shared" si="18"/>
        <v>8.8367999999999984</v>
      </c>
      <c r="X6">
        <f t="shared" si="19"/>
        <v>21.251900000000003</v>
      </c>
      <c r="Y6" s="4">
        <v>300</v>
      </c>
    </row>
    <row r="7" spans="1:25" x14ac:dyDescent="0.55000000000000004">
      <c r="A7" t="s">
        <v>25</v>
      </c>
      <c r="B7" t="s">
        <v>26</v>
      </c>
      <c r="C7" t="s">
        <v>27</v>
      </c>
      <c r="D7" t="s">
        <v>28</v>
      </c>
      <c r="E7" t="s">
        <v>34</v>
      </c>
      <c r="F7">
        <f t="shared" si="1"/>
        <v>5.0392000000000001</v>
      </c>
      <c r="G7">
        <f t="shared" si="2"/>
        <v>29.613700000000001</v>
      </c>
      <c r="H7">
        <f t="shared" si="3"/>
        <v>5.5632000000000001</v>
      </c>
      <c r="I7">
        <f t="shared" si="4"/>
        <v>0</v>
      </c>
      <c r="J7">
        <f t="shared" si="5"/>
        <v>0.72429999999999994</v>
      </c>
      <c r="K7">
        <f t="shared" si="6"/>
        <v>6.0831</v>
      </c>
      <c r="L7">
        <f t="shared" si="7"/>
        <v>17.0549</v>
      </c>
      <c r="M7">
        <f t="shared" si="8"/>
        <v>16.5383</v>
      </c>
      <c r="N7">
        <f t="shared" si="9"/>
        <v>4.63</v>
      </c>
      <c r="O7">
        <f t="shared" si="10"/>
        <v>26.1754</v>
      </c>
      <c r="P7">
        <f t="shared" si="11"/>
        <v>0.94359999999999999</v>
      </c>
      <c r="Q7">
        <f t="shared" si="12"/>
        <v>31.447800000000001</v>
      </c>
      <c r="R7">
        <f t="shared" si="13"/>
        <v>0.4073</v>
      </c>
      <c r="S7">
        <f t="shared" si="14"/>
        <v>0.14460000000000001</v>
      </c>
      <c r="T7">
        <f t="shared" si="15"/>
        <v>0.18630000000000002</v>
      </c>
      <c r="U7">
        <f t="shared" si="16"/>
        <v>7.8819999999999997</v>
      </c>
      <c r="V7">
        <f t="shared" si="17"/>
        <v>6.4188999999999998</v>
      </c>
      <c r="W7">
        <f t="shared" si="18"/>
        <v>3.4546999999999999</v>
      </c>
      <c r="X7">
        <f t="shared" si="19"/>
        <v>19.114699999999999</v>
      </c>
      <c r="Y7" s="4">
        <v>181</v>
      </c>
    </row>
    <row r="8" spans="1:25" x14ac:dyDescent="0.55000000000000004">
      <c r="A8" t="s">
        <v>25</v>
      </c>
      <c r="B8" t="s">
        <v>26</v>
      </c>
      <c r="C8" t="s">
        <v>27</v>
      </c>
      <c r="D8" t="s">
        <v>28</v>
      </c>
      <c r="E8" t="s">
        <v>35</v>
      </c>
      <c r="F8">
        <f t="shared" si="1"/>
        <v>5.2130000000000001</v>
      </c>
      <c r="G8">
        <f t="shared" si="2"/>
        <v>21.087199999999999</v>
      </c>
      <c r="H8">
        <f t="shared" si="3"/>
        <v>4.1890000000000001</v>
      </c>
      <c r="I8">
        <f t="shared" si="4"/>
        <v>0</v>
      </c>
      <c r="J8">
        <f t="shared" si="5"/>
        <v>0.64890000000000003</v>
      </c>
      <c r="K8">
        <f t="shared" si="6"/>
        <v>6.2831000000000001</v>
      </c>
      <c r="L8">
        <f t="shared" si="7"/>
        <v>13.279</v>
      </c>
      <c r="M8">
        <f t="shared" si="8"/>
        <v>13.526200000000001</v>
      </c>
      <c r="N8">
        <f t="shared" si="9"/>
        <v>1.1112</v>
      </c>
      <c r="O8">
        <f t="shared" si="10"/>
        <v>20.846799999999998</v>
      </c>
      <c r="P8">
        <f t="shared" si="11"/>
        <v>0.90149999999999997</v>
      </c>
      <c r="Q8">
        <f t="shared" si="12"/>
        <v>27.468</v>
      </c>
      <c r="R8">
        <f t="shared" si="13"/>
        <v>0.28100000000000003</v>
      </c>
      <c r="S8">
        <f t="shared" si="14"/>
        <v>0.75990000000000002</v>
      </c>
      <c r="T8">
        <f t="shared" si="15"/>
        <v>0.31730000000000003</v>
      </c>
      <c r="U8">
        <f t="shared" si="16"/>
        <v>7.39</v>
      </c>
      <c r="V8">
        <f t="shared" si="17"/>
        <v>8.2187999999999999</v>
      </c>
      <c r="W8">
        <f t="shared" si="18"/>
        <v>3.4</v>
      </c>
      <c r="X8">
        <f t="shared" si="19"/>
        <v>12.872399999999999</v>
      </c>
      <c r="Y8" s="4">
        <v>147</v>
      </c>
    </row>
    <row r="9" spans="1:25" x14ac:dyDescent="0.55000000000000004">
      <c r="A9" t="s">
        <v>25</v>
      </c>
      <c r="B9" t="s">
        <v>26</v>
      </c>
      <c r="C9" t="s">
        <v>27</v>
      </c>
      <c r="D9" t="s">
        <v>28</v>
      </c>
      <c r="E9" t="s">
        <v>36</v>
      </c>
      <c r="F9">
        <f t="shared" si="1"/>
        <v>4.1461000000000006</v>
      </c>
      <c r="G9">
        <f t="shared" si="2"/>
        <v>21.686199999999999</v>
      </c>
      <c r="H9">
        <f t="shared" si="3"/>
        <v>3.6093999999999999</v>
      </c>
      <c r="I9">
        <f t="shared" si="4"/>
        <v>0</v>
      </c>
      <c r="J9">
        <f t="shared" si="5"/>
        <v>0.9052</v>
      </c>
      <c r="K9">
        <f t="shared" si="6"/>
        <v>5.2051999999999996</v>
      </c>
      <c r="L9">
        <f t="shared" si="7"/>
        <v>12.139899999999999</v>
      </c>
      <c r="M9">
        <f t="shared" si="8"/>
        <v>12.0876</v>
      </c>
      <c r="N9">
        <f t="shared" si="9"/>
        <v>0.81100000000000005</v>
      </c>
      <c r="O9">
        <f t="shared" si="10"/>
        <v>16.258399999999998</v>
      </c>
      <c r="P9">
        <f t="shared" si="11"/>
        <v>0.74760000000000004</v>
      </c>
      <c r="Q9">
        <f t="shared" si="12"/>
        <v>0.43489999999999995</v>
      </c>
      <c r="R9">
        <f t="shared" si="13"/>
        <v>0.63879999999999992</v>
      </c>
      <c r="S9">
        <f t="shared" si="14"/>
        <v>0.97260000000000002</v>
      </c>
      <c r="T9">
        <f t="shared" si="15"/>
        <v>1.3380999999999998</v>
      </c>
      <c r="U9">
        <f t="shared" si="16"/>
        <v>6.1011999999999995</v>
      </c>
      <c r="V9">
        <f t="shared" si="17"/>
        <v>6.5505000000000004</v>
      </c>
      <c r="W9">
        <f t="shared" si="18"/>
        <v>3.6877</v>
      </c>
      <c r="X9">
        <f t="shared" si="19"/>
        <v>13.1532</v>
      </c>
      <c r="Y9" s="4">
        <v>110</v>
      </c>
    </row>
    <row r="10" spans="1:25" x14ac:dyDescent="0.55000000000000004">
      <c r="A10" t="s">
        <v>25</v>
      </c>
      <c r="B10" t="s">
        <v>26</v>
      </c>
      <c r="C10" t="s">
        <v>27</v>
      </c>
      <c r="D10" t="s">
        <v>28</v>
      </c>
      <c r="E10" t="s">
        <v>37</v>
      </c>
      <c r="F10">
        <f t="shared" si="1"/>
        <v>2.9504000000000001</v>
      </c>
      <c r="G10">
        <f t="shared" si="2"/>
        <v>23.072800000000001</v>
      </c>
      <c r="H10">
        <f t="shared" si="3"/>
        <v>3.6228000000000002</v>
      </c>
      <c r="I10">
        <f t="shared" si="4"/>
        <v>0</v>
      </c>
      <c r="J10">
        <f t="shared" si="5"/>
        <v>0.6079</v>
      </c>
      <c r="K10">
        <f t="shared" si="6"/>
        <v>3.4146000000000001</v>
      </c>
      <c r="L10">
        <f t="shared" si="7"/>
        <v>15.662799999999999</v>
      </c>
      <c r="M10">
        <f t="shared" si="8"/>
        <v>10.1052</v>
      </c>
      <c r="N10">
        <f t="shared" si="9"/>
        <v>0.86699999999999999</v>
      </c>
      <c r="O10">
        <f t="shared" si="10"/>
        <v>14.443100000000001</v>
      </c>
      <c r="P10">
        <f t="shared" si="11"/>
        <v>0.93189999999999995</v>
      </c>
      <c r="Q10">
        <f t="shared" si="12"/>
        <v>0.35270000000000001</v>
      </c>
      <c r="R10">
        <f t="shared" si="13"/>
        <v>0.49469999999999997</v>
      </c>
      <c r="S10">
        <f t="shared" si="14"/>
        <v>1.0604</v>
      </c>
      <c r="T10">
        <f t="shared" si="15"/>
        <v>0.33139999999999997</v>
      </c>
      <c r="U10">
        <f t="shared" si="16"/>
        <v>0.62739999999999996</v>
      </c>
      <c r="V10">
        <f t="shared" si="17"/>
        <v>4.8891</v>
      </c>
      <c r="W10">
        <f t="shared" si="18"/>
        <v>2.7403000000000004</v>
      </c>
      <c r="X10">
        <f t="shared" si="19"/>
        <v>9.7255000000000003</v>
      </c>
      <c r="Y10" s="4">
        <v>95</v>
      </c>
    </row>
    <row r="11" spans="1:25" x14ac:dyDescent="0.55000000000000004">
      <c r="A11" t="s">
        <v>25</v>
      </c>
      <c r="B11" t="s">
        <v>26</v>
      </c>
      <c r="C11" t="s">
        <v>27</v>
      </c>
      <c r="D11" t="s">
        <v>28</v>
      </c>
      <c r="E11" t="s">
        <v>38</v>
      </c>
      <c r="F11">
        <f t="shared" si="1"/>
        <v>2.6726999999999999</v>
      </c>
      <c r="G11">
        <f t="shared" si="2"/>
        <v>4.5366999999999997</v>
      </c>
      <c r="H11">
        <f t="shared" si="3"/>
        <v>14.779200000000001</v>
      </c>
      <c r="I11">
        <f t="shared" si="4"/>
        <v>3.5000000000000001E-3</v>
      </c>
      <c r="J11">
        <f t="shared" si="5"/>
        <v>0.2969</v>
      </c>
      <c r="K11">
        <f t="shared" si="6"/>
        <v>2.7515999999999998</v>
      </c>
      <c r="L11">
        <f t="shared" si="7"/>
        <v>18.401</v>
      </c>
      <c r="M11">
        <f t="shared" si="8"/>
        <v>10.392299999999999</v>
      </c>
      <c r="N11">
        <f t="shared" si="9"/>
        <v>0.80979999999999996</v>
      </c>
      <c r="O11">
        <f t="shared" si="10"/>
        <v>17.860400000000002</v>
      </c>
      <c r="P11">
        <f t="shared" si="11"/>
        <v>1.0236000000000001</v>
      </c>
      <c r="Q11">
        <f t="shared" si="12"/>
        <v>0.29049999999999998</v>
      </c>
      <c r="R11">
        <f t="shared" si="13"/>
        <v>0.2697</v>
      </c>
      <c r="S11">
        <f t="shared" si="14"/>
        <v>1.5085</v>
      </c>
      <c r="T11">
        <f t="shared" si="15"/>
        <v>0.57099999999999995</v>
      </c>
      <c r="U11">
        <f t="shared" si="16"/>
        <v>1.1448</v>
      </c>
      <c r="V11">
        <f t="shared" si="17"/>
        <v>4.5126999999999997</v>
      </c>
      <c r="W11">
        <f t="shared" si="18"/>
        <v>2.8968000000000003</v>
      </c>
      <c r="X11">
        <f t="shared" si="19"/>
        <v>7.8239999999999998</v>
      </c>
      <c r="Y11" s="4">
        <v>92</v>
      </c>
    </row>
    <row r="12" spans="1:25" x14ac:dyDescent="0.55000000000000004">
      <c r="A12" t="s">
        <v>25</v>
      </c>
      <c r="B12" t="s">
        <v>26</v>
      </c>
      <c r="C12" t="s">
        <v>27</v>
      </c>
      <c r="D12" t="s">
        <v>28</v>
      </c>
      <c r="E12" t="s">
        <v>39</v>
      </c>
      <c r="F12">
        <f t="shared" si="1"/>
        <v>3.2756999999999996</v>
      </c>
      <c r="G12">
        <f t="shared" si="2"/>
        <v>2.7454999999999998</v>
      </c>
      <c r="H12">
        <f t="shared" si="3"/>
        <v>9.2349999999999994</v>
      </c>
      <c r="I12">
        <f t="shared" si="4"/>
        <v>1.4E-3</v>
      </c>
      <c r="J12">
        <f t="shared" si="5"/>
        <v>0.27829999999999999</v>
      </c>
      <c r="K12">
        <f t="shared" si="6"/>
        <v>4.6071999999999997</v>
      </c>
      <c r="L12">
        <f t="shared" si="7"/>
        <v>16.880099999999999</v>
      </c>
      <c r="M12">
        <f t="shared" si="8"/>
        <v>10.930899999999999</v>
      </c>
      <c r="N12">
        <f t="shared" si="9"/>
        <v>0.96250000000000002</v>
      </c>
      <c r="O12">
        <f t="shared" si="10"/>
        <v>15.830299999999999</v>
      </c>
      <c r="P12">
        <f t="shared" si="11"/>
        <v>1.6484000000000001</v>
      </c>
      <c r="Q12">
        <f t="shared" si="12"/>
        <v>0.47539999999999999</v>
      </c>
      <c r="R12">
        <f t="shared" si="13"/>
        <v>0.2404</v>
      </c>
      <c r="S12">
        <f t="shared" si="14"/>
        <v>0.87490000000000001</v>
      </c>
      <c r="T12">
        <f t="shared" si="15"/>
        <v>0.37330000000000002</v>
      </c>
      <c r="U12">
        <f t="shared" si="16"/>
        <v>1.7439</v>
      </c>
      <c r="V12">
        <f t="shared" si="17"/>
        <v>4.6271000000000004</v>
      </c>
      <c r="W12">
        <f t="shared" si="18"/>
        <v>3.2073</v>
      </c>
      <c r="X12">
        <f t="shared" si="19"/>
        <v>9.4527000000000001</v>
      </c>
      <c r="Y12" s="4">
        <v>87</v>
      </c>
    </row>
    <row r="13" spans="1:25" x14ac:dyDescent="0.55000000000000004">
      <c r="A13" t="s">
        <v>25</v>
      </c>
      <c r="B13" t="s">
        <v>26</v>
      </c>
      <c r="C13" t="s">
        <v>27</v>
      </c>
      <c r="D13" t="s">
        <v>28</v>
      </c>
      <c r="E13" t="s">
        <v>40</v>
      </c>
      <c r="F13">
        <f t="shared" si="1"/>
        <v>2.8780999999999999</v>
      </c>
      <c r="G13">
        <f t="shared" si="2"/>
        <v>17.352</v>
      </c>
      <c r="H13">
        <f t="shared" si="3"/>
        <v>3.5836999999999999</v>
      </c>
      <c r="I13">
        <f t="shared" si="4"/>
        <v>8.6E-3</v>
      </c>
      <c r="J13">
        <f t="shared" si="5"/>
        <v>0.31539999999999996</v>
      </c>
      <c r="K13">
        <f t="shared" si="6"/>
        <v>6.9213000000000005</v>
      </c>
      <c r="L13">
        <f t="shared" si="7"/>
        <v>15.8626</v>
      </c>
      <c r="M13">
        <f t="shared" si="8"/>
        <v>17.504099999999998</v>
      </c>
      <c r="N13">
        <f t="shared" si="9"/>
        <v>1.0630999999999999</v>
      </c>
      <c r="O13">
        <f t="shared" si="10"/>
        <v>16.764200000000002</v>
      </c>
      <c r="P13">
        <f t="shared" si="11"/>
        <v>2.1951000000000001</v>
      </c>
      <c r="Q13">
        <f t="shared" si="12"/>
        <v>0.5645</v>
      </c>
      <c r="R13">
        <f t="shared" si="13"/>
        <v>0.23699999999999999</v>
      </c>
      <c r="S13">
        <f t="shared" si="14"/>
        <v>0.89989999999999992</v>
      </c>
      <c r="T13">
        <f t="shared" si="15"/>
        <v>0.34549999999999997</v>
      </c>
      <c r="U13">
        <f t="shared" si="16"/>
        <v>1.8699000000000001</v>
      </c>
      <c r="V13">
        <f t="shared" si="17"/>
        <v>4.6070000000000002</v>
      </c>
      <c r="W13">
        <f t="shared" si="18"/>
        <v>3.6601999999999997</v>
      </c>
      <c r="X13">
        <f t="shared" si="19"/>
        <v>8.4567000000000014</v>
      </c>
      <c r="Y13" s="4">
        <v>105</v>
      </c>
    </row>
    <row r="24" spans="1:19" x14ac:dyDescent="0.55000000000000004">
      <c r="A24" s="5">
        <v>38437.5</v>
      </c>
      <c r="B24" s="5">
        <v>40824.5</v>
      </c>
      <c r="C24" s="5">
        <v>8524</v>
      </c>
      <c r="D24" s="5">
        <v>22.3</v>
      </c>
      <c r="E24" s="5">
        <v>11409</v>
      </c>
      <c r="F24" s="5">
        <v>38249.199999999997</v>
      </c>
      <c r="G24" s="5">
        <v>37787.1</v>
      </c>
      <c r="H24" s="5">
        <v>48866.5</v>
      </c>
      <c r="I24" s="5">
        <v>33294.400000000001</v>
      </c>
      <c r="J24" s="5">
        <v>105827.1</v>
      </c>
      <c r="K24" s="5">
        <v>19273.5</v>
      </c>
      <c r="L24" s="5">
        <v>15236.9</v>
      </c>
      <c r="M24" s="5">
        <v>541.79999999999995</v>
      </c>
      <c r="N24" s="5">
        <v>69.599999999999994</v>
      </c>
      <c r="O24" s="5">
        <v>408</v>
      </c>
      <c r="P24" s="5">
        <v>13790.1</v>
      </c>
      <c r="Q24" s="5">
        <v>32314.7</v>
      </c>
      <c r="R24" s="5">
        <v>22907.599999999999</v>
      </c>
      <c r="S24" s="5">
        <v>82422.3</v>
      </c>
    </row>
    <row r="25" spans="1:19" x14ac:dyDescent="0.55000000000000004">
      <c r="A25" s="5">
        <v>28732.2</v>
      </c>
      <c r="B25" s="5">
        <v>34799.599999999999</v>
      </c>
      <c r="C25" s="5">
        <v>7332.4</v>
      </c>
      <c r="D25" s="5">
        <v>0</v>
      </c>
      <c r="E25" s="5">
        <v>2560.6</v>
      </c>
      <c r="F25" s="5">
        <v>46273.4</v>
      </c>
      <c r="G25" s="5">
        <v>48903.4</v>
      </c>
      <c r="H25" s="5">
        <v>36013.5</v>
      </c>
      <c r="I25" s="5">
        <v>29649.1</v>
      </c>
      <c r="J25" s="5">
        <v>88412.9</v>
      </c>
      <c r="K25" s="5">
        <v>6745</v>
      </c>
      <c r="L25" s="5">
        <v>10333.4</v>
      </c>
      <c r="M25" s="5">
        <v>801.6</v>
      </c>
      <c r="N25" s="5">
        <v>987.6</v>
      </c>
      <c r="O25" s="5">
        <v>318.8</v>
      </c>
      <c r="P25" s="5">
        <v>23517.3</v>
      </c>
      <c r="Q25" s="5">
        <v>32405.9</v>
      </c>
      <c r="R25" s="5">
        <v>17628.099999999999</v>
      </c>
      <c r="S25" s="5">
        <v>75896.5</v>
      </c>
    </row>
    <row r="26" spans="1:19" x14ac:dyDescent="0.55000000000000004">
      <c r="A26" s="5">
        <v>31425.3</v>
      </c>
      <c r="B26" s="5">
        <v>66540</v>
      </c>
      <c r="C26" s="5">
        <v>16817.900000000001</v>
      </c>
      <c r="D26" s="5">
        <v>0</v>
      </c>
      <c r="E26" s="5">
        <v>3727.6</v>
      </c>
      <c r="F26" s="5">
        <v>49829.8</v>
      </c>
      <c r="G26" s="5">
        <v>73084.7</v>
      </c>
      <c r="H26" s="5">
        <v>21923.200000000001</v>
      </c>
      <c r="I26" s="5">
        <v>32484.6</v>
      </c>
      <c r="J26" s="5">
        <v>74751.3</v>
      </c>
      <c r="K26" s="5">
        <v>5585.2</v>
      </c>
      <c r="L26" s="5">
        <v>18404.599999999999</v>
      </c>
      <c r="M26" s="5">
        <v>6535.6</v>
      </c>
      <c r="N26" s="5">
        <v>546.29999999999995</v>
      </c>
      <c r="O26" s="5">
        <v>1079.8</v>
      </c>
      <c r="P26" s="5">
        <v>21153.7</v>
      </c>
      <c r="Q26" s="5">
        <v>21244.400000000001</v>
      </c>
      <c r="R26" s="5">
        <v>12064</v>
      </c>
      <c r="S26" s="5">
        <v>56466</v>
      </c>
    </row>
    <row r="27" spans="1:19" x14ac:dyDescent="0.55000000000000004">
      <c r="A27" s="5">
        <v>32385.9</v>
      </c>
      <c r="B27" s="5">
        <v>17524.47</v>
      </c>
      <c r="C27" s="5">
        <v>42868.5</v>
      </c>
      <c r="D27" s="5">
        <v>0</v>
      </c>
      <c r="E27" s="5">
        <v>1867.2</v>
      </c>
      <c r="F27" s="5">
        <v>45610.75</v>
      </c>
      <c r="G27" s="5">
        <v>96547.31</v>
      </c>
      <c r="H27" s="5">
        <v>16170.75</v>
      </c>
      <c r="I27" s="5">
        <v>33599.5</v>
      </c>
      <c r="J27" s="5">
        <v>73756.27</v>
      </c>
      <c r="K27" s="5">
        <v>3660.29</v>
      </c>
      <c r="L27" s="5">
        <v>19162.78</v>
      </c>
      <c r="M27" s="5">
        <v>2096.73</v>
      </c>
      <c r="N27" s="5">
        <v>46.3</v>
      </c>
      <c r="O27" s="5">
        <v>692.6</v>
      </c>
      <c r="P27" s="5">
        <v>22547.200000000001</v>
      </c>
      <c r="Q27" s="5">
        <v>17227.939999999999</v>
      </c>
      <c r="R27" s="5">
        <v>7515.08</v>
      </c>
      <c r="S27" s="5">
        <v>37194.35</v>
      </c>
    </row>
    <row r="28" spans="1:19" x14ac:dyDescent="0.55000000000000004">
      <c r="A28" s="5">
        <v>6038.6</v>
      </c>
      <c r="B28" s="5">
        <v>6853</v>
      </c>
      <c r="C28" s="5">
        <v>24224.5</v>
      </c>
      <c r="D28" s="5">
        <v>14.9</v>
      </c>
      <c r="E28" s="5">
        <v>869.5</v>
      </c>
      <c r="F28" s="5">
        <v>2862.1</v>
      </c>
      <c r="G28" s="5">
        <v>124540.7</v>
      </c>
      <c r="H28" s="5">
        <v>18765.2</v>
      </c>
      <c r="I28" s="5">
        <v>1474.3</v>
      </c>
      <c r="J28" s="5">
        <v>30497.599999999999</v>
      </c>
      <c r="K28" s="5">
        <v>2221.6</v>
      </c>
      <c r="L28" s="5">
        <v>14028.8</v>
      </c>
      <c r="M28" s="5">
        <v>748.5</v>
      </c>
      <c r="N28" s="5">
        <v>97.8</v>
      </c>
      <c r="O28" s="5">
        <v>323.10000000000002</v>
      </c>
      <c r="P28" s="5">
        <v>24495</v>
      </c>
      <c r="Q28" s="5">
        <v>12702.8</v>
      </c>
      <c r="R28" s="5">
        <v>8836.7999999999993</v>
      </c>
      <c r="S28" s="5">
        <v>21251.9</v>
      </c>
    </row>
    <row r="29" spans="1:19" x14ac:dyDescent="0.55000000000000004">
      <c r="A29" s="5">
        <v>5039.2</v>
      </c>
      <c r="B29" s="5">
        <v>29613.7</v>
      </c>
      <c r="C29" s="5">
        <v>5563.2</v>
      </c>
      <c r="D29" s="5">
        <v>0</v>
      </c>
      <c r="E29" s="5">
        <v>724.3</v>
      </c>
      <c r="F29" s="5">
        <v>6083.1</v>
      </c>
      <c r="G29" s="5">
        <v>17054.900000000001</v>
      </c>
      <c r="H29" s="5">
        <v>16538.3</v>
      </c>
      <c r="I29" s="5">
        <v>4630</v>
      </c>
      <c r="J29" s="5">
        <v>26175.4</v>
      </c>
      <c r="K29" s="5">
        <v>943.6</v>
      </c>
      <c r="L29" s="5">
        <v>31447.8</v>
      </c>
      <c r="M29" s="5">
        <v>407.3</v>
      </c>
      <c r="N29" s="5">
        <v>144.6</v>
      </c>
      <c r="O29" s="5">
        <v>186.3</v>
      </c>
      <c r="P29" s="5">
        <v>7882</v>
      </c>
      <c r="Q29" s="5">
        <v>6418.9</v>
      </c>
      <c r="R29" s="5">
        <v>3454.7</v>
      </c>
      <c r="S29" s="5">
        <v>19114.7</v>
      </c>
    </row>
    <row r="30" spans="1:19" x14ac:dyDescent="0.55000000000000004">
      <c r="A30" s="5">
        <v>5213</v>
      </c>
      <c r="B30" s="5">
        <v>21087.200000000001</v>
      </c>
      <c r="C30" s="5">
        <v>4189</v>
      </c>
      <c r="D30" s="5">
        <v>0</v>
      </c>
      <c r="E30" s="5">
        <v>648.9</v>
      </c>
      <c r="F30" s="5">
        <v>6283.1</v>
      </c>
      <c r="G30" s="5">
        <v>13279</v>
      </c>
      <c r="H30" s="5">
        <v>13526.2</v>
      </c>
      <c r="I30" s="5">
        <v>1111.2</v>
      </c>
      <c r="J30" s="5">
        <v>20846.8</v>
      </c>
      <c r="K30" s="5">
        <v>901.5</v>
      </c>
      <c r="L30" s="5">
        <v>27468</v>
      </c>
      <c r="M30" s="5">
        <v>281</v>
      </c>
      <c r="N30" s="5">
        <v>759.9</v>
      </c>
      <c r="O30" s="5">
        <v>317.3</v>
      </c>
      <c r="P30" s="5">
        <v>7390</v>
      </c>
      <c r="Q30" s="5">
        <v>8218.7999999999993</v>
      </c>
      <c r="R30" s="5">
        <v>3400</v>
      </c>
      <c r="S30" s="5">
        <v>12872.4</v>
      </c>
    </row>
    <row r="31" spans="1:19" x14ac:dyDescent="0.55000000000000004">
      <c r="A31" s="5">
        <v>4146.1000000000004</v>
      </c>
      <c r="B31" s="5">
        <v>21686.2</v>
      </c>
      <c r="C31" s="5">
        <v>3609.4</v>
      </c>
      <c r="D31" s="5">
        <v>0</v>
      </c>
      <c r="E31" s="5">
        <v>905.2</v>
      </c>
      <c r="F31" s="5">
        <v>5205.2</v>
      </c>
      <c r="G31" s="5">
        <v>12139.9</v>
      </c>
      <c r="H31" s="5">
        <v>12087.6</v>
      </c>
      <c r="I31" s="5">
        <v>811</v>
      </c>
      <c r="J31" s="5">
        <v>16258.4</v>
      </c>
      <c r="K31" s="5">
        <v>747.6</v>
      </c>
      <c r="L31" s="5">
        <v>434.9</v>
      </c>
      <c r="M31" s="5">
        <v>638.79999999999995</v>
      </c>
      <c r="N31" s="5">
        <v>972.6</v>
      </c>
      <c r="O31" s="5">
        <v>1338.1</v>
      </c>
      <c r="P31" s="5">
        <v>6101.2</v>
      </c>
      <c r="Q31" s="5">
        <v>6550.5</v>
      </c>
      <c r="R31" s="5">
        <v>3687.7</v>
      </c>
      <c r="S31" s="5">
        <v>13153.2</v>
      </c>
    </row>
    <row r="32" spans="1:19" x14ac:dyDescent="0.55000000000000004">
      <c r="A32" s="5">
        <v>2950.4</v>
      </c>
      <c r="B32" s="5">
        <v>23072.799999999999</v>
      </c>
      <c r="C32" s="5">
        <v>3622.8</v>
      </c>
      <c r="D32" s="5">
        <v>0</v>
      </c>
      <c r="E32" s="5">
        <v>607.9</v>
      </c>
      <c r="F32" s="5">
        <v>3414.6</v>
      </c>
      <c r="G32" s="5">
        <v>15662.8</v>
      </c>
      <c r="H32" s="5">
        <v>10105.200000000001</v>
      </c>
      <c r="I32" s="5">
        <v>867</v>
      </c>
      <c r="J32" s="5">
        <v>14443.1</v>
      </c>
      <c r="K32" s="5">
        <v>931.9</v>
      </c>
      <c r="L32" s="5">
        <v>352.7</v>
      </c>
      <c r="M32" s="5">
        <v>494.7</v>
      </c>
      <c r="N32" s="5">
        <v>1060.4000000000001</v>
      </c>
      <c r="O32" s="5">
        <v>331.4</v>
      </c>
      <c r="P32" s="5">
        <v>627.4</v>
      </c>
      <c r="Q32" s="5">
        <v>4889.1000000000004</v>
      </c>
      <c r="R32" s="5">
        <v>2740.3</v>
      </c>
      <c r="S32" s="5">
        <v>9725.5</v>
      </c>
    </row>
    <row r="33" spans="1:19" x14ac:dyDescent="0.55000000000000004">
      <c r="A33" s="5">
        <v>2672.7</v>
      </c>
      <c r="B33" s="5">
        <v>4536.7</v>
      </c>
      <c r="C33" s="5">
        <v>14779.2</v>
      </c>
      <c r="D33" s="5">
        <v>3.5</v>
      </c>
      <c r="E33" s="5">
        <v>296.89999999999998</v>
      </c>
      <c r="F33" s="5">
        <v>2751.6</v>
      </c>
      <c r="G33" s="5">
        <v>18401</v>
      </c>
      <c r="H33" s="5">
        <v>10392.299999999999</v>
      </c>
      <c r="I33" s="5">
        <v>809.8</v>
      </c>
      <c r="J33" s="5">
        <v>17860.400000000001</v>
      </c>
      <c r="K33" s="5">
        <v>1023.6</v>
      </c>
      <c r="L33" s="5">
        <v>290.5</v>
      </c>
      <c r="M33" s="5">
        <v>269.7</v>
      </c>
      <c r="N33" s="5">
        <v>1508.5</v>
      </c>
      <c r="O33" s="5">
        <v>571</v>
      </c>
      <c r="P33" s="5">
        <v>1144.8</v>
      </c>
      <c r="Q33" s="5">
        <v>4512.7</v>
      </c>
      <c r="R33" s="5">
        <v>2896.8</v>
      </c>
      <c r="S33" s="5">
        <v>7824</v>
      </c>
    </row>
    <row r="34" spans="1:19" x14ac:dyDescent="0.55000000000000004">
      <c r="A34" s="5">
        <v>3275.7</v>
      </c>
      <c r="B34" s="5">
        <v>2745.5</v>
      </c>
      <c r="C34" s="5">
        <v>9235</v>
      </c>
      <c r="D34" s="5">
        <v>1.4</v>
      </c>
      <c r="E34" s="5">
        <v>278.3</v>
      </c>
      <c r="F34" s="5">
        <v>4607.2</v>
      </c>
      <c r="G34" s="5">
        <v>16880.099999999999</v>
      </c>
      <c r="H34" s="5">
        <v>10930.9</v>
      </c>
      <c r="I34" s="5">
        <v>962.5</v>
      </c>
      <c r="J34" s="5">
        <v>15830.3</v>
      </c>
      <c r="K34" s="5">
        <v>1648.4</v>
      </c>
      <c r="L34" s="5">
        <v>475.4</v>
      </c>
      <c r="M34" s="5">
        <v>240.4</v>
      </c>
      <c r="N34" s="5">
        <v>874.9</v>
      </c>
      <c r="O34" s="5">
        <v>373.3</v>
      </c>
      <c r="P34" s="5">
        <v>1743.9</v>
      </c>
      <c r="Q34" s="5">
        <v>4627.1000000000004</v>
      </c>
      <c r="R34" s="5">
        <v>3207.3</v>
      </c>
      <c r="S34" s="5">
        <v>9452.7000000000007</v>
      </c>
    </row>
    <row r="35" spans="1:19" x14ac:dyDescent="0.55000000000000004">
      <c r="A35" s="6">
        <v>2878.1</v>
      </c>
      <c r="B35" s="6">
        <v>17352</v>
      </c>
      <c r="C35" s="6">
        <v>3583.7</v>
      </c>
      <c r="D35" s="6">
        <v>8.6</v>
      </c>
      <c r="E35" s="6">
        <v>315.39999999999998</v>
      </c>
      <c r="F35" s="6">
        <v>6921.3</v>
      </c>
      <c r="G35" s="6">
        <v>15862.6</v>
      </c>
      <c r="H35" s="6">
        <v>17504.099999999999</v>
      </c>
      <c r="I35" s="6">
        <v>1063.0999999999999</v>
      </c>
      <c r="J35" s="6">
        <v>16764.2</v>
      </c>
      <c r="K35" s="6">
        <v>2195.1</v>
      </c>
      <c r="L35" s="6">
        <v>564.5</v>
      </c>
      <c r="M35" s="6">
        <v>237</v>
      </c>
      <c r="N35" s="6">
        <v>899.9</v>
      </c>
      <c r="O35" s="6">
        <v>345.5</v>
      </c>
      <c r="P35" s="6">
        <v>1869.9</v>
      </c>
      <c r="Q35" s="6">
        <v>4607</v>
      </c>
      <c r="R35" s="6">
        <v>3660.2</v>
      </c>
      <c r="S35" s="6">
        <v>8456.7000000000007</v>
      </c>
    </row>
  </sheetData>
  <pageMargins left="0.7" right="0.7" top="0.75" bottom="0.75" header="0.3" footer="0.3"/>
  <pageSetup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الاستثمارات العامة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abdo</dc:creator>
  <cp:lastModifiedBy>abdo</cp:lastModifiedBy>
  <dcterms:created xsi:type="dcterms:W3CDTF">2021-12-12T19:25:21Z</dcterms:created>
  <dcterms:modified xsi:type="dcterms:W3CDTF">2021-12-14T20:04:19Z</dcterms:modified>
</cp:coreProperties>
</file>